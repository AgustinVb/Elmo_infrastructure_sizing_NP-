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DCH\640kW_2dias\"/>
    </mc:Choice>
  </mc:AlternateContent>
  <xr:revisionPtr revIDLastSave="0" documentId="13_ncr:1_{988080C4-70AC-49A8-8984-0D5219BAD714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LHD" sheetId="1" r:id="rId1"/>
    <sheet name="stations" sheetId="2" r:id="rId2"/>
    <sheet name="chargers" sheetId="3" r:id="rId3"/>
    <sheet name="extraction_nodes" sheetId="4" r:id="rId4"/>
    <sheet name="discharge_nodes" sheetId="5" r:id="rId5"/>
    <sheet name="Generators" sheetId="6" r:id="rId6"/>
    <sheet name="Storage" sheetId="7" r:id="rId7"/>
    <sheet name="BatteryDegradation" sheetId="8" r:id="rId8"/>
    <sheet name="FleetByYea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C3" i="7"/>
  <c r="AE8" i="1"/>
  <c r="AE11" i="1" s="1"/>
  <c r="AE14" i="1" s="1"/>
  <c r="AE7" i="1"/>
  <c r="AE10" i="1" s="1"/>
  <c r="AE13" i="1" s="1"/>
  <c r="AE6" i="1"/>
  <c r="AE9" i="1" s="1"/>
  <c r="AE12" i="1" s="1"/>
</calcChain>
</file>

<file path=xl/sharedStrings.xml><?xml version="1.0" encoding="utf-8"?>
<sst xmlns="http://schemas.openxmlformats.org/spreadsheetml/2006/main" count="509" uniqueCount="397">
  <si>
    <t>id</t>
  </si>
  <si>
    <t>gamma_coef</t>
  </si>
  <si>
    <t>c_bat_replace</t>
  </si>
  <si>
    <t>min_capacity_fraction</t>
  </si>
  <si>
    <t>discount_rate</t>
  </si>
  <si>
    <t>int</t>
  </si>
  <si>
    <t>USD</t>
  </si>
  <si>
    <t>%</t>
  </si>
  <si>
    <t>name</t>
  </si>
  <si>
    <t>energy_cost</t>
  </si>
  <si>
    <t>technology_type</t>
  </si>
  <si>
    <t>operation_mode</t>
  </si>
  <si>
    <t>model</t>
  </si>
  <si>
    <t>load_capacity</t>
  </si>
  <si>
    <t>filling_factor</t>
  </si>
  <si>
    <t>loading_time</t>
  </si>
  <si>
    <t>discharging_time</t>
  </si>
  <si>
    <t>weight</t>
  </si>
  <si>
    <t>engine_power</t>
  </si>
  <si>
    <t>frontal_area</t>
  </si>
  <si>
    <t>tank_capacity</t>
  </si>
  <si>
    <t>min_capacity</t>
  </si>
  <si>
    <t>fuel_consumption</t>
  </si>
  <si>
    <t>refueling_time</t>
  </si>
  <si>
    <t>engine_efficiency</t>
  </si>
  <si>
    <t>transmission_efficiency</t>
  </si>
  <si>
    <t>speed</t>
  </si>
  <si>
    <t>acceleration</t>
  </si>
  <si>
    <t>hydraulic_power</t>
  </si>
  <si>
    <t>aux_power</t>
  </si>
  <si>
    <t>charge_power</t>
  </si>
  <si>
    <t>total_chargers</t>
  </si>
  <si>
    <t>battery_capacity</t>
  </si>
  <si>
    <t>min_soc</t>
  </si>
  <si>
    <t>charge_efficiency</t>
  </si>
  <si>
    <t>discharge_efficiency</t>
  </si>
  <si>
    <t>swap_time</t>
  </si>
  <si>
    <t>charge_time</t>
  </si>
  <si>
    <t>integer</t>
  </si>
  <si>
    <t>string</t>
  </si>
  <si>
    <t>ton</t>
  </si>
  <si>
    <t>p.u.</t>
  </si>
  <si>
    <t>sec</t>
  </si>
  <si>
    <t>kW</t>
  </si>
  <si>
    <t>m2</t>
  </si>
  <si>
    <t>L</t>
  </si>
  <si>
    <t>float</t>
  </si>
  <si>
    <t>g/kWh</t>
  </si>
  <si>
    <t>min</t>
  </si>
  <si>
    <t>km/h</t>
  </si>
  <si>
    <t>m/s^2</t>
  </si>
  <si>
    <t>kWh</t>
  </si>
  <si>
    <t>h</t>
  </si>
  <si>
    <t>LH518B_1</t>
  </si>
  <si>
    <t>Profile_fixed</t>
  </si>
  <si>
    <t>electric</t>
  </si>
  <si>
    <t>Efficient</t>
  </si>
  <si>
    <t>LH518B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</si>
  <si>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</si>
  <si>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</si>
  <si>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</si>
  <si>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</si>
  <si>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</si>
  <si>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</si>
  <si>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</si>
  <si>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</si>
  <si>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</si>
  <si>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</si>
  <si>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</si>
  <si>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station_name</t>
  </si>
  <si>
    <t>c_fixed</t>
  </si>
  <si>
    <t>c_bays</t>
  </si>
  <si>
    <t>c_charger_space</t>
  </si>
  <si>
    <t>c_inv_ssee</t>
  </si>
  <si>
    <t>max_bays</t>
  </si>
  <si>
    <t>max_chargers_per_bay</t>
  </si>
  <si>
    <t>p_max_ssee</t>
  </si>
  <si>
    <t>USD/kW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</si>
  <si>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</si>
  <si>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</si>
  <si>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</si>
  <si>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</si>
  <si>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</si>
  <si>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</si>
  <si>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</si>
  <si>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p_peak_dist</t>
  </si>
  <si>
    <t>Sandvik</t>
  </si>
  <si>
    <t>node_name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</si>
  <si>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</si>
  <si>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</si>
  <si>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</si>
  <si>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</si>
  <si>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</si>
  <si>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</si>
  <si>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</si>
  <si>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</si>
  <si>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</si>
  <si>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</si>
  <si>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</si>
  <si>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</si>
  <si>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</si>
  <si>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</si>
  <si>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</si>
  <si>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</si>
  <si>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</si>
  <si>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</si>
  <si>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</si>
  <si>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</si>
  <si>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</si>
  <si>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</si>
  <si>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</si>
  <si>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</si>
  <si>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</si>
  <si>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</si>
  <si>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</si>
  <si>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</si>
  <si>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</si>
  <si>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</si>
  <si>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</si>
  <si>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</si>
  <si>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</si>
  <si>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</si>
  <si>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</si>
  <si>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</si>
  <si>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</si>
  <si>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</si>
  <si>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</si>
  <si>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</si>
  <si>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</si>
  <si>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</si>
  <si>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</si>
  <si>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</si>
  <si>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</si>
  <si>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</si>
  <si>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</si>
  <si>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</si>
  <si>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</si>
  <si>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</si>
  <si>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</si>
  <si>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</si>
  <si>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</si>
  <si>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</si>
  <si>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</si>
  <si>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</si>
  <si>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</si>
  <si>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</si>
  <si>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</si>
  <si>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</si>
  <si>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</si>
  <si>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</si>
  <si>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</si>
  <si>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</si>
  <si>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</si>
  <si>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</si>
  <si>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</si>
  <si>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</si>
  <si>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</si>
  <si>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</si>
  <si>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</si>
  <si>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</si>
  <si>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</si>
  <si>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</si>
  <si>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</si>
  <si>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</si>
  <si>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</si>
  <si>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</si>
  <si>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</si>
  <si>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</si>
  <si>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</si>
  <si>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</si>
  <si>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</si>
  <si>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</si>
  <si>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</si>
  <si>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</si>
  <si>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</si>
  <si>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</si>
  <si>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</si>
  <si>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</si>
  <si>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</si>
  <si>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</si>
  <si>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</si>
  <si>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</si>
  <si>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</si>
  <si>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</si>
  <si>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</si>
  <si>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</si>
  <si>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</si>
  <si>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</si>
  <si>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</si>
  <si>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</si>
  <si>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</si>
  <si>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</si>
  <si>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</si>
  <si>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</si>
  <si>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</si>
  <si>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</si>
  <si>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</si>
  <si>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</si>
  <si>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</si>
  <si>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</si>
  <si>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</si>
  <si>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</si>
  <si>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</si>
  <si>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</si>
  <si>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</si>
  <si>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</si>
  <si>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</si>
  <si>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</si>
  <si>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</si>
  <si>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</si>
  <si>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</si>
  <si>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</si>
  <si>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</si>
  <si>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</si>
  <si>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</si>
  <si>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</si>
  <si>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</si>
  <si>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</si>
  <si>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</si>
  <si>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</si>
  <si>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</si>
  <si>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</si>
  <si>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</si>
  <si>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</si>
  <si>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</si>
  <si>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</si>
  <si>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</si>
  <si>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</si>
  <si>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</si>
  <si>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</si>
  <si>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</si>
  <si>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</si>
  <si>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</si>
  <si>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</si>
  <si>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</si>
  <si>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</si>
  <si>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</si>
  <si>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</si>
  <si>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</si>
  <si>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</si>
  <si>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</si>
  <si>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</si>
  <si>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</si>
  <si>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</si>
  <si>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</si>
  <si>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</si>
  <si>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</si>
  <si>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</si>
  <si>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</si>
  <si>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</si>
  <si>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</si>
  <si>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</si>
  <si>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</si>
  <si>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</si>
  <si>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</si>
  <si>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</si>
  <si>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</si>
  <si>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</si>
  <si>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</si>
  <si>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</si>
  <si>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</si>
  <si>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</si>
  <si>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</si>
  <si>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</si>
  <si>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</si>
  <si>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</si>
  <si>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</si>
  <si>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</si>
  <si>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</si>
  <si>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</si>
  <si>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</si>
  <si>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</si>
  <si>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</si>
  <si>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</si>
  <si>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</si>
  <si>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</si>
  <si>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</si>
  <si>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</si>
  <si>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</si>
  <si>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</si>
  <si>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</si>
  <si>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</si>
  <si>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</si>
  <si>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</si>
  <si>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</si>
  <si>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</si>
  <si>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</si>
  <si>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</si>
  <si>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</si>
  <si>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</si>
  <si>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</si>
  <si>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</si>
  <si>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</si>
  <si>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</si>
  <si>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</si>
  <si>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</si>
  <si>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</si>
  <si>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</si>
  <si>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</si>
  <si>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</si>
  <si>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</si>
  <si>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</si>
  <si>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</si>
  <si>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</si>
  <si>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</si>
  <si>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</si>
  <si>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</si>
  <si>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</si>
  <si>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</si>
  <si>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</si>
  <si>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</si>
  <si>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</si>
  <si>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</si>
  <si>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</si>
  <si>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</si>
  <si>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</si>
  <si>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</si>
  <si>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</si>
  <si>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</si>
  <si>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</si>
  <si>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</si>
  <si>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</si>
  <si>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</si>
  <si>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</si>
  <si>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</si>
  <si>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</si>
  <si>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</si>
  <si>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</si>
  <si>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</si>
  <si>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</si>
  <si>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</si>
  <si>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</si>
  <si>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</si>
  <si>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</si>
  <si>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</si>
  <si>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</si>
  <si>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</si>
  <si>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</si>
  <si>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</si>
  <si>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</si>
  <si>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</si>
  <si>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</si>
  <si>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</si>
  <si>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</si>
  <si>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</si>
  <si>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</si>
  <si>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</si>
  <si>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</si>
  <si>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</si>
  <si>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</si>
  <si>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</si>
  <si>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</si>
  <si>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</si>
  <si>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</si>
  <si>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</si>
  <si>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</si>
  <si>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</si>
  <si>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</si>
  <si>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</si>
  <si>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</si>
  <si>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</si>
  <si>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</si>
  <si>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</si>
  <si>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</si>
  <si>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</si>
  <si>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</si>
  <si>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</si>
  <si>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</si>
  <si>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</si>
  <si>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</si>
  <si>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</si>
  <si>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</si>
  <si>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</si>
  <si>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</si>
  <si>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</si>
  <si>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</si>
  <si>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street</t>
  </si>
  <si>
    <t>d_node_0</t>
  </si>
  <si>
    <t>street_1</t>
  </si>
  <si>
    <t>type</t>
  </si>
  <si>
    <t>c_inv</t>
  </si>
  <si>
    <t>c_op</t>
  </si>
  <si>
    <t>p_max</t>
  </si>
  <si>
    <t>g_max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</si>
  <si>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</si>
  <si>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</si>
  <si>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</si>
  <si>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</si>
  <si>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</si>
  <si>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</si>
  <si>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</si>
  <si>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</si>
  <si>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h_max</t>
  </si>
  <si>
    <t>USD/año/kW</t>
  </si>
  <si>
    <t>Bess</t>
  </si>
  <si>
    <t>year</t>
  </si>
  <si>
    <t>n_active_lhd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</si>
</sst>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3" fillId="2" borderId="4" xfId="0" applyNumberFormat="1" applyFont="1" applyFill="1" applyBorder="1" applyAlignment="1">
      <alignment horizontal="left"/>
    </xf>
    <xf numFmtId="0" fontId="0" fillId="0" borderId="2" xfId="0" applyBorder="1"/>
    <xf numFmtId="3" fontId="1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 vertical="top"/>
    </xf>
    <xf numFmtId="3" fontId="3" fillId="2" borderId="9" xfId="0" applyNumberFormat="1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3" fillId="2" borderId="7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3" borderId="1" xfId="0" applyNumberFormat="1" applyFont="1" applyFill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14"/>
  <sheetViews>
    <sheetView zoomScaleNormal="100" workbookViewId="0">
      <selection activeCell="D20" sqref="D20"/>
    </sheetView>
  </sheetViews>
  <sheetFormatPr baseColWidth="10" defaultColWidth="9.109375" defaultRowHeight="14.4" x14ac:dyDescent="0.3"/>
  <cols>
    <col min="1" max="1" width="7.44140625" style="8" bestFit="1" customWidth="1"/>
    <col min="2" max="2" width="12.5546875" bestFit="1" customWidth="1"/>
    <col min="3" max="3" width="23.88671875" style="6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8" bestFit="1" customWidth="1"/>
    <col min="8" max="8" width="12.33203125" style="8" bestFit="1" customWidth="1"/>
    <col min="9" max="9" width="12.5546875" style="8" bestFit="1" customWidth="1"/>
    <col min="10" max="10" width="16.44140625" style="8" bestFit="1" customWidth="1"/>
    <col min="11" max="11" width="7" style="8" bestFit="1" customWidth="1"/>
    <col min="12" max="12" width="13.5546875" style="8" bestFit="1" customWidth="1"/>
    <col min="13" max="13" width="11.6640625" style="9" bestFit="1" customWidth="1"/>
    <col min="14" max="14" width="13.109375" style="8" bestFit="1" customWidth="1"/>
    <col min="15" max="15" width="15" style="8" customWidth="1"/>
    <col min="16" max="16" width="17.109375" style="8" bestFit="1" customWidth="1"/>
    <col min="17" max="17" width="9.5546875" style="9" bestFit="1" customWidth="1"/>
    <col min="18" max="18" width="18" style="9" bestFit="1" customWidth="1"/>
    <col min="19" max="19" width="20.88671875" style="9" bestFit="1" customWidth="1"/>
    <col min="20" max="23" width="20.88671875" style="9" customWidth="1"/>
    <col min="24" max="24" width="18.44140625" style="9" bestFit="1" customWidth="1"/>
    <col min="25" max="25" width="20.109375" style="9" bestFit="1" customWidth="1"/>
    <col min="26" max="26" width="13.5546875" style="9" bestFit="1" customWidth="1"/>
    <col min="27" max="27" width="11.33203125" style="9" bestFit="1" customWidth="1"/>
    <col min="28" max="28" width="19.33203125" bestFit="1" customWidth="1"/>
  </cols>
  <sheetData>
    <row r="1" spans="1:31" x14ac:dyDescent="0.3">
      <c r="A1" s="7" t="s">
        <v>0</v>
      </c>
      <c r="B1" s="37" t="s">
        <v>8</v>
      </c>
      <c r="C1" s="37" t="s">
        <v>9</v>
      </c>
      <c r="D1" s="37" t="s">
        <v>10</v>
      </c>
      <c r="E1" s="37" t="s">
        <v>11</v>
      </c>
      <c r="F1" s="37" t="s">
        <v>12</v>
      </c>
      <c r="G1" s="38" t="s">
        <v>13</v>
      </c>
      <c r="H1" s="38" t="s">
        <v>14</v>
      </c>
      <c r="I1" s="38" t="s">
        <v>15</v>
      </c>
      <c r="J1" s="38" t="s">
        <v>16</v>
      </c>
      <c r="K1" s="38" t="s">
        <v>17</v>
      </c>
      <c r="L1" s="38" t="s">
        <v>18</v>
      </c>
      <c r="M1" s="39" t="s">
        <v>19</v>
      </c>
      <c r="N1" s="40" t="s">
        <v>20</v>
      </c>
      <c r="O1" s="40" t="s">
        <v>21</v>
      </c>
      <c r="P1" s="40" t="s">
        <v>22</v>
      </c>
      <c r="Q1" s="40" t="s">
        <v>23</v>
      </c>
      <c r="R1" s="41" t="s">
        <v>24</v>
      </c>
      <c r="S1" s="40" t="s">
        <v>25</v>
      </c>
      <c r="T1" s="42" t="s">
        <v>26</v>
      </c>
      <c r="U1" s="42" t="s">
        <v>27</v>
      </c>
      <c r="V1" s="42" t="s">
        <v>28</v>
      </c>
      <c r="W1" s="42" t="s">
        <v>29</v>
      </c>
      <c r="X1" s="42" t="s">
        <v>30</v>
      </c>
      <c r="Y1" s="42" t="s">
        <v>31</v>
      </c>
      <c r="Z1" s="42" t="s">
        <v>32</v>
      </c>
      <c r="AA1" s="42" t="s">
        <v>33</v>
      </c>
      <c r="AB1" s="42" t="s">
        <v>34</v>
      </c>
      <c r="AC1" s="42" t="s">
        <v>35</v>
      </c>
      <c r="AD1" s="42" t="s">
        <v>36</v>
      </c>
      <c r="AE1" s="42" t="s">
        <v>37</v>
      </c>
    </row>
    <row r="2" spans="1:31" x14ac:dyDescent="0.3">
      <c r="A2" s="10" t="s">
        <v>38</v>
      </c>
      <c r="B2" s="43" t="s">
        <v>39</v>
      </c>
      <c r="C2" s="43" t="s">
        <v>39</v>
      </c>
      <c r="D2" s="44" t="s">
        <v>39</v>
      </c>
      <c r="E2" s="44" t="s">
        <v>39</v>
      </c>
      <c r="F2" s="44" t="s">
        <v>39</v>
      </c>
      <c r="G2" s="45" t="s">
        <v>40</v>
      </c>
      <c r="H2" s="45" t="s">
        <v>41</v>
      </c>
      <c r="I2" s="45" t="s">
        <v>42</v>
      </c>
      <c r="J2" s="45" t="s">
        <v>42</v>
      </c>
      <c r="K2" s="45" t="s">
        <v>40</v>
      </c>
      <c r="L2" s="45" t="s">
        <v>43</v>
      </c>
      <c r="M2" s="46" t="s">
        <v>44</v>
      </c>
      <c r="N2" s="47" t="s">
        <v>45</v>
      </c>
      <c r="O2" s="47" t="s">
        <v>46</v>
      </c>
      <c r="P2" s="47" t="s">
        <v>47</v>
      </c>
      <c r="Q2" s="47" t="s">
        <v>48</v>
      </c>
      <c r="R2" s="48" t="s">
        <v>46</v>
      </c>
      <c r="S2" s="40" t="s">
        <v>46</v>
      </c>
      <c r="T2" s="42" t="s">
        <v>49</v>
      </c>
      <c r="U2" s="42" t="s">
        <v>50</v>
      </c>
      <c r="V2" s="42" t="s">
        <v>43</v>
      </c>
      <c r="W2" s="42" t="s">
        <v>43</v>
      </c>
      <c r="X2" s="42" t="s">
        <v>43</v>
      </c>
      <c r="Y2" s="42" t="s">
        <v>5</v>
      </c>
      <c r="Z2" s="42" t="s">
        <v>51</v>
      </c>
      <c r="AA2" s="42" t="s">
        <v>46</v>
      </c>
      <c r="AB2" s="42" t="s">
        <v>46</v>
      </c>
      <c r="AC2" s="42" t="s">
        <v>46</v>
      </c>
      <c r="AD2" s="42" t="s">
        <v>52</v>
      </c>
      <c r="AE2" s="42" t="s">
        <v>52</v>
      </c>
    </row>
    <row r="3" spans="1:31" x14ac:dyDescent="0.3">
      <c r="A3" s="36">
        <v>1</v>
      </c>
      <c r="B3" s="28" t="s">
        <v>53</v>
      </c>
      <c r="C3" s="6" t="s">
        <v>54</v>
      </c>
      <c r="D3" s="29" t="s">
        <v>55</v>
      </c>
      <c r="E3" s="30" t="s">
        <v>56</v>
      </c>
      <c r="F3" s="30" t="s">
        <v>57</v>
      </c>
      <c r="G3" s="31">
        <v>18</v>
      </c>
      <c r="H3" s="32">
        <v>0.84</v>
      </c>
      <c r="I3" s="31">
        <v>20</v>
      </c>
      <c r="J3" s="31">
        <v>20</v>
      </c>
      <c r="K3" s="31">
        <v>55</v>
      </c>
      <c r="L3" s="31">
        <v>540</v>
      </c>
      <c r="M3" s="32">
        <v>8.73</v>
      </c>
      <c r="N3" s="33">
        <v>-1</v>
      </c>
      <c r="O3" s="33">
        <v>-1</v>
      </c>
      <c r="P3" s="33">
        <v>-1</v>
      </c>
      <c r="Q3" s="33">
        <v>-1</v>
      </c>
      <c r="R3" s="32">
        <v>0.95</v>
      </c>
      <c r="S3" s="34">
        <v>0.92</v>
      </c>
      <c r="T3" s="35">
        <v>16.2</v>
      </c>
      <c r="U3" s="35">
        <v>0.47</v>
      </c>
      <c r="V3" s="11">
        <v>160</v>
      </c>
      <c r="W3" s="11">
        <v>4</v>
      </c>
      <c r="X3" s="11">
        <v>320</v>
      </c>
      <c r="Y3" s="11">
        <v>4</v>
      </c>
      <c r="Z3" s="11">
        <v>482</v>
      </c>
      <c r="AA3" s="11">
        <v>0.2</v>
      </c>
      <c r="AB3" s="11">
        <v>0.95</v>
      </c>
      <c r="AC3" s="11">
        <v>0.95</v>
      </c>
      <c r="AD3" s="11">
        <v>8.3000000000000004E-2</v>
      </c>
      <c r="AE3" s="11">
        <v>1</v>
      </c>
    </row>
    <row r="4" spans="1:31" x14ac:dyDescent="0.3">
      <c r="A4" s="36">
        <v>2</v>
      </c>
      <c r="B4" s="28" t="s">
        <v>58</v>
      </c>
      <c r="C4" s="6" t="s">
        <v>54</v>
      </c>
      <c r="D4" s="29" t="s">
        <v>55</v>
      </c>
      <c r="E4" s="30" t="s">
        <v>56</v>
      </c>
      <c r="F4" s="30" t="s">
        <v>57</v>
      </c>
      <c r="G4" s="31">
        <v>18</v>
      </c>
      <c r="H4" s="32">
        <v>0.84</v>
      </c>
      <c r="I4" s="31">
        <v>20</v>
      </c>
      <c r="J4" s="31">
        <v>20</v>
      </c>
      <c r="K4" s="31">
        <v>55</v>
      </c>
      <c r="L4" s="31">
        <v>540</v>
      </c>
      <c r="M4" s="32">
        <v>8.73</v>
      </c>
      <c r="N4" s="33">
        <v>-1</v>
      </c>
      <c r="O4" s="33">
        <v>-1</v>
      </c>
      <c r="P4" s="33">
        <v>-1</v>
      </c>
      <c r="Q4" s="33">
        <v>-1</v>
      </c>
      <c r="R4" s="32">
        <v>0.95</v>
      </c>
      <c r="S4" s="34">
        <v>0.92</v>
      </c>
      <c r="T4" s="35">
        <v>16.2</v>
      </c>
      <c r="U4" s="35">
        <v>0.47</v>
      </c>
      <c r="V4" s="11">
        <v>160</v>
      </c>
      <c r="W4" s="11">
        <v>4</v>
      </c>
      <c r="X4" s="11">
        <v>320</v>
      </c>
      <c r="Y4" s="11">
        <v>4</v>
      </c>
      <c r="Z4" s="11">
        <v>482</v>
      </c>
      <c r="AA4" s="11">
        <v>0.2</v>
      </c>
      <c r="AB4" s="11">
        <v>0.95</v>
      </c>
      <c r="AC4" s="11">
        <v>0.95</v>
      </c>
      <c r="AD4" s="11">
        <v>8.3000000000000004E-2</v>
      </c>
      <c r="AE4" s="11">
        <v>1</v>
      </c>
    </row>
    <row r="5" spans="1:31" x14ac:dyDescent="0.3">
      <c r="A5" s="36">
        <v>3</v>
      </c>
      <c r="B5" s="28" t="s">
        <v>59</v>
      </c>
      <c r="C5" s="6" t="s">
        <v>54</v>
      </c>
      <c r="D5" s="29" t="s">
        <v>55</v>
      </c>
      <c r="E5" s="30" t="s">
        <v>56</v>
      </c>
      <c r="F5" s="30" t="s">
        <v>57</v>
      </c>
      <c r="G5" s="31">
        <v>18</v>
      </c>
      <c r="H5" s="32">
        <v>0.84</v>
      </c>
      <c r="I5" s="31">
        <v>20</v>
      </c>
      <c r="J5" s="31">
        <v>20</v>
      </c>
      <c r="K5" s="31">
        <v>55</v>
      </c>
      <c r="L5" s="31">
        <v>540</v>
      </c>
      <c r="M5" s="32">
        <v>8.73</v>
      </c>
      <c r="N5" s="33">
        <v>-1</v>
      </c>
      <c r="O5" s="33">
        <v>-1</v>
      </c>
      <c r="P5" s="33">
        <v>-1</v>
      </c>
      <c r="Q5" s="33">
        <v>-1</v>
      </c>
      <c r="R5" s="32">
        <v>0.95</v>
      </c>
      <c r="S5" s="34">
        <v>0.92</v>
      </c>
      <c r="T5" s="35">
        <v>16.2</v>
      </c>
      <c r="U5" s="35">
        <v>0.47</v>
      </c>
      <c r="V5" s="11">
        <v>160</v>
      </c>
      <c r="W5" s="11">
        <v>4</v>
      </c>
      <c r="X5" s="11">
        <v>320</v>
      </c>
      <c r="Y5" s="11">
        <v>4</v>
      </c>
      <c r="Z5" s="11">
        <v>482</v>
      </c>
      <c r="AA5" s="11">
        <v>0.2</v>
      </c>
      <c r="AB5" s="11">
        <v>0.95</v>
      </c>
      <c r="AC5" s="11">
        <v>0.95</v>
      </c>
      <c r="AD5" s="11">
        <v>8.3000000000000004E-2</v>
      </c>
      <c r="AE5" s="11">
        <v>1</v>
      </c>
    </row>
    <row r="6" spans="1:31" x14ac:dyDescent="0.3">
      <c r="A6" s="36">
        <v>4</v>
      </c>
      <c r="B6" s="28" t="s">
        <v>60</v>
      </c>
      <c r="C6" s="6" t="s">
        <v>54</v>
      </c>
      <c r="D6" s="29" t="s">
        <v>55</v>
      </c>
      <c r="E6" s="30" t="s">
        <v>56</v>
      </c>
      <c r="F6" s="30" t="s">
        <v>57</v>
      </c>
      <c r="G6" s="31">
        <v>18</v>
      </c>
      <c r="H6" s="32">
        <v>0.84</v>
      </c>
      <c r="I6" s="31">
        <v>20</v>
      </c>
      <c r="J6" s="31">
        <v>20</v>
      </c>
      <c r="K6" s="31">
        <v>55</v>
      </c>
      <c r="L6" s="31">
        <v>540</v>
      </c>
      <c r="M6" s="32">
        <v>8.73</v>
      </c>
      <c r="N6" s="33">
        <v>-1</v>
      </c>
      <c r="O6" s="33">
        <v>-1</v>
      </c>
      <c r="P6" s="33">
        <v>-1</v>
      </c>
      <c r="Q6" s="33">
        <v>-1</v>
      </c>
      <c r="R6" s="32">
        <v>0.95</v>
      </c>
      <c r="S6" s="34">
        <v>0.92</v>
      </c>
      <c r="T6" s="35">
        <v>16.2</v>
      </c>
      <c r="U6" s="35">
        <v>0.47</v>
      </c>
      <c r="V6" s="11">
        <v>160</v>
      </c>
      <c r="W6" s="11">
        <v>4</v>
      </c>
      <c r="X6" s="11">
        <v>320</v>
      </c>
      <c r="Y6" s="11">
        <v>4</v>
      </c>
      <c r="Z6" s="11">
        <v>482</v>
      </c>
      <c r="AA6" s="11">
        <v>0.2</v>
      </c>
      <c r="AB6" s="11">
        <v>0.95</v>
      </c>
      <c r="AC6" s="11">
        <v>0.95</v>
      </c>
      <c r="AD6" s="11">
        <v>8.3000000000000004E-2</v>
      </c>
      <c r="AE6" s="11">
        <f t="shared" ref="AE6:AE14" si="0">AE3</f>
        <v>1</v>
      </c>
    </row>
    <row r="7" spans="1:31" x14ac:dyDescent="0.3">
      <c r="A7" s="36">
        <v>5</v>
      </c>
      <c r="B7" s="28" t="s">
        <v>61</v>
      </c>
      <c r="C7" s="6" t="s">
        <v>54</v>
      </c>
      <c r="D7" s="29" t="s">
        <v>55</v>
      </c>
      <c r="E7" s="30" t="s">
        <v>56</v>
      </c>
      <c r="F7" s="30" t="s">
        <v>57</v>
      </c>
      <c r="G7" s="31">
        <v>18</v>
      </c>
      <c r="H7" s="32">
        <v>0.84</v>
      </c>
      <c r="I7" s="31">
        <v>20</v>
      </c>
      <c r="J7" s="31">
        <v>20</v>
      </c>
      <c r="K7" s="31">
        <v>55</v>
      </c>
      <c r="L7" s="31">
        <v>540</v>
      </c>
      <c r="M7" s="32">
        <v>8.73</v>
      </c>
      <c r="N7" s="33">
        <v>-1</v>
      </c>
      <c r="O7" s="33">
        <v>-1</v>
      </c>
      <c r="P7" s="33">
        <v>-1</v>
      </c>
      <c r="Q7" s="33">
        <v>-1</v>
      </c>
      <c r="R7" s="32">
        <v>0.95</v>
      </c>
      <c r="S7" s="34">
        <v>0.92</v>
      </c>
      <c r="T7" s="35">
        <v>16.2</v>
      </c>
      <c r="U7" s="35">
        <v>0.47</v>
      </c>
      <c r="V7" s="11">
        <v>160</v>
      </c>
      <c r="W7" s="11">
        <v>4</v>
      </c>
      <c r="X7" s="11">
        <v>320</v>
      </c>
      <c r="Y7" s="11">
        <v>4</v>
      </c>
      <c r="Z7" s="11">
        <v>482</v>
      </c>
      <c r="AA7" s="11">
        <v>0.2</v>
      </c>
      <c r="AB7" s="11">
        <v>0.95</v>
      </c>
      <c r="AC7" s="11">
        <v>0.95</v>
      </c>
      <c r="AD7" s="11">
        <v>8.3000000000000004E-2</v>
      </c>
      <c r="AE7" s="11">
        <f t="shared" si="0"/>
        <v>1</v>
      </c>
    </row>
    <row r="8" spans="1:31" x14ac:dyDescent="0.3">
      <c r="A8" s="36">
        <v>6</v>
      </c>
      <c r="B8" s="28" t="s">
        <v>62</v>
      </c>
      <c r="C8" s="6" t="s">
        <v>54</v>
      </c>
      <c r="D8" s="29" t="s">
        <v>55</v>
      </c>
      <c r="E8" s="30" t="s">
        <v>56</v>
      </c>
      <c r="F8" s="30" t="s">
        <v>57</v>
      </c>
      <c r="G8" s="31">
        <v>18</v>
      </c>
      <c r="H8" s="32">
        <v>0.84</v>
      </c>
      <c r="I8" s="31">
        <v>20</v>
      </c>
      <c r="J8" s="31">
        <v>20</v>
      </c>
      <c r="K8" s="31">
        <v>55</v>
      </c>
      <c r="L8" s="31">
        <v>540</v>
      </c>
      <c r="M8" s="32">
        <v>8.73</v>
      </c>
      <c r="N8" s="33">
        <v>-1</v>
      </c>
      <c r="O8" s="33">
        <v>-1</v>
      </c>
      <c r="P8" s="33">
        <v>-1</v>
      </c>
      <c r="Q8" s="33">
        <v>-1</v>
      </c>
      <c r="R8" s="32">
        <v>0.95</v>
      </c>
      <c r="S8" s="34">
        <v>0.92</v>
      </c>
      <c r="T8" s="35">
        <v>16.2</v>
      </c>
      <c r="U8" s="35">
        <v>0.47</v>
      </c>
      <c r="V8" s="11">
        <v>160</v>
      </c>
      <c r="W8" s="11">
        <v>4</v>
      </c>
      <c r="X8" s="11">
        <v>320</v>
      </c>
      <c r="Y8" s="11">
        <v>4</v>
      </c>
      <c r="Z8" s="11">
        <v>482</v>
      </c>
      <c r="AA8" s="11">
        <v>0.2</v>
      </c>
      <c r="AB8" s="11">
        <v>0.95</v>
      </c>
      <c r="AC8" s="11">
        <v>0.95</v>
      </c>
      <c r="AD8" s="11">
        <v>8.3000000000000004E-2</v>
      </c>
      <c r="AE8" s="11">
        <f t="shared" si="0"/>
        <v>1</v>
      </c>
    </row>
    <row r="9" spans="1:31" x14ac:dyDescent="0.3">
      <c r="A9" s="36">
        <v>7</v>
      </c>
      <c r="B9" s="28" t="s">
        <v>63</v>
      </c>
      <c r="C9" s="6" t="s">
        <v>54</v>
      </c>
      <c r="D9" s="29" t="s">
        <v>55</v>
      </c>
      <c r="E9" s="30" t="s">
        <v>56</v>
      </c>
      <c r="F9" s="30" t="s">
        <v>57</v>
      </c>
      <c r="G9" s="31">
        <v>18</v>
      </c>
      <c r="H9" s="32">
        <v>0.84</v>
      </c>
      <c r="I9" s="31">
        <v>20</v>
      </c>
      <c r="J9" s="31">
        <v>20</v>
      </c>
      <c r="K9" s="31">
        <v>55</v>
      </c>
      <c r="L9" s="31">
        <v>540</v>
      </c>
      <c r="M9" s="32">
        <v>8.73</v>
      </c>
      <c r="N9" s="33">
        <v>-1</v>
      </c>
      <c r="O9" s="33">
        <v>-1</v>
      </c>
      <c r="P9" s="33">
        <v>-1</v>
      </c>
      <c r="Q9" s="33">
        <v>-1</v>
      </c>
      <c r="R9" s="32">
        <v>0.95</v>
      </c>
      <c r="S9" s="34">
        <v>0.92</v>
      </c>
      <c r="T9" s="35">
        <v>16.2</v>
      </c>
      <c r="U9" s="35">
        <v>0.47</v>
      </c>
      <c r="V9" s="11">
        <v>160</v>
      </c>
      <c r="W9" s="11">
        <v>4</v>
      </c>
      <c r="X9" s="11">
        <v>320</v>
      </c>
      <c r="Y9" s="11">
        <v>4</v>
      </c>
      <c r="Z9" s="11">
        <v>482</v>
      </c>
      <c r="AA9" s="11">
        <v>0.2</v>
      </c>
      <c r="AB9" s="11">
        <v>0.95</v>
      </c>
      <c r="AC9" s="11">
        <v>0.95</v>
      </c>
      <c r="AD9" s="11">
        <v>8.3000000000000004E-2</v>
      </c>
      <c r="AE9" s="11">
        <f t="shared" si="0"/>
        <v>1</v>
      </c>
    </row>
    <row r="10" spans="1:31" x14ac:dyDescent="0.3">
      <c r="A10" s="36">
        <v>8</v>
      </c>
      <c r="B10" s="28" t="s">
        <v>64</v>
      </c>
      <c r="C10" s="6" t="s">
        <v>54</v>
      </c>
      <c r="D10" s="29" t="s">
        <v>55</v>
      </c>
      <c r="E10" s="30" t="s">
        <v>56</v>
      </c>
      <c r="F10" s="30" t="s">
        <v>57</v>
      </c>
      <c r="G10" s="31">
        <v>18</v>
      </c>
      <c r="H10" s="32">
        <v>0.84</v>
      </c>
      <c r="I10" s="31">
        <v>20</v>
      </c>
      <c r="J10" s="31">
        <v>20</v>
      </c>
      <c r="K10" s="31">
        <v>55</v>
      </c>
      <c r="L10" s="31">
        <v>540</v>
      </c>
      <c r="M10" s="32">
        <v>8.73</v>
      </c>
      <c r="N10" s="33">
        <v>-1</v>
      </c>
      <c r="O10" s="33">
        <v>-1</v>
      </c>
      <c r="P10" s="33">
        <v>-1</v>
      </c>
      <c r="Q10" s="33">
        <v>-1</v>
      </c>
      <c r="R10" s="32">
        <v>0.95</v>
      </c>
      <c r="S10" s="34">
        <v>0.92</v>
      </c>
      <c r="T10" s="35">
        <v>16.2</v>
      </c>
      <c r="U10" s="35">
        <v>0.47</v>
      </c>
      <c r="V10" s="11">
        <v>160</v>
      </c>
      <c r="W10" s="11">
        <v>4</v>
      </c>
      <c r="X10" s="11">
        <v>320</v>
      </c>
      <c r="Y10" s="11">
        <v>4</v>
      </c>
      <c r="Z10" s="11">
        <v>482</v>
      </c>
      <c r="AA10" s="11">
        <v>0.2</v>
      </c>
      <c r="AB10" s="11">
        <v>0.95</v>
      </c>
      <c r="AC10" s="11">
        <v>0.95</v>
      </c>
      <c r="AD10" s="11">
        <v>8.3000000000000004E-2</v>
      </c>
      <c r="AE10" s="11">
        <f t="shared" si="0"/>
        <v>1</v>
      </c>
    </row>
    <row r="11" spans="1:31" x14ac:dyDescent="0.3">
      <c r="A11" s="36">
        <v>9</v>
      </c>
      <c r="B11" s="28" t="s">
        <v>65</v>
      </c>
      <c r="C11" s="6" t="s">
        <v>54</v>
      </c>
      <c r="D11" s="29" t="s">
        <v>55</v>
      </c>
      <c r="E11" s="30" t="s">
        <v>56</v>
      </c>
      <c r="F11" s="30" t="s">
        <v>57</v>
      </c>
      <c r="G11" s="31">
        <v>18</v>
      </c>
      <c r="H11" s="32">
        <v>0.84</v>
      </c>
      <c r="I11" s="31">
        <v>20</v>
      </c>
      <c r="J11" s="31">
        <v>20</v>
      </c>
      <c r="K11" s="31">
        <v>55</v>
      </c>
      <c r="L11" s="31">
        <v>540</v>
      </c>
      <c r="M11" s="32">
        <v>8.73</v>
      </c>
      <c r="N11" s="33">
        <v>-1</v>
      </c>
      <c r="O11" s="33">
        <v>-1</v>
      </c>
      <c r="P11" s="33">
        <v>-1</v>
      </c>
      <c r="Q11" s="33">
        <v>-1</v>
      </c>
      <c r="R11" s="32">
        <v>0.95</v>
      </c>
      <c r="S11" s="34">
        <v>0.92</v>
      </c>
      <c r="T11" s="35">
        <v>16.2</v>
      </c>
      <c r="U11" s="35">
        <v>0.47</v>
      </c>
      <c r="V11" s="11">
        <v>160</v>
      </c>
      <c r="W11" s="11">
        <v>4</v>
      </c>
      <c r="X11" s="11">
        <v>320</v>
      </c>
      <c r="Y11" s="11">
        <v>4</v>
      </c>
      <c r="Z11" s="11">
        <v>482</v>
      </c>
      <c r="AA11" s="11">
        <v>0.2</v>
      </c>
      <c r="AB11" s="11">
        <v>0.95</v>
      </c>
      <c r="AC11" s="11">
        <v>0.95</v>
      </c>
      <c r="AD11" s="11">
        <v>8.3000000000000004E-2</v>
      </c>
      <c r="AE11" s="11">
        <f t="shared" si="0"/>
        <v>1</v>
      </c>
    </row>
    <row r="12" spans="1:31" x14ac:dyDescent="0.3">
      <c r="A12" s="36">
        <v>10</v>
      </c>
      <c r="B12" s="28" t="s">
        <v>66</v>
      </c>
      <c r="C12" s="6" t="s">
        <v>54</v>
      </c>
      <c r="D12" s="29" t="s">
        <v>55</v>
      </c>
      <c r="E12" s="30" t="s">
        <v>56</v>
      </c>
      <c r="F12" s="30" t="s">
        <v>57</v>
      </c>
      <c r="G12" s="31">
        <v>18</v>
      </c>
      <c r="H12" s="32">
        <v>0.84</v>
      </c>
      <c r="I12" s="31">
        <v>20</v>
      </c>
      <c r="J12" s="31">
        <v>20</v>
      </c>
      <c r="K12" s="31">
        <v>55</v>
      </c>
      <c r="L12" s="31">
        <v>540</v>
      </c>
      <c r="M12" s="32">
        <v>8.73</v>
      </c>
      <c r="N12" s="33">
        <v>-1</v>
      </c>
      <c r="O12" s="33">
        <v>-1</v>
      </c>
      <c r="P12" s="33">
        <v>-1</v>
      </c>
      <c r="Q12" s="33">
        <v>-1</v>
      </c>
      <c r="R12" s="32">
        <v>0.95</v>
      </c>
      <c r="S12" s="34">
        <v>0.92</v>
      </c>
      <c r="T12" s="35">
        <v>16.2</v>
      </c>
      <c r="U12" s="35">
        <v>0.47</v>
      </c>
      <c r="V12" s="11">
        <v>160</v>
      </c>
      <c r="W12" s="11">
        <v>4</v>
      </c>
      <c r="X12" s="11">
        <v>320</v>
      </c>
      <c r="Y12" s="11">
        <v>4</v>
      </c>
      <c r="Z12" s="11">
        <v>482</v>
      </c>
      <c r="AA12" s="11">
        <v>0.2</v>
      </c>
      <c r="AB12" s="11">
        <v>0.95</v>
      </c>
      <c r="AC12" s="11">
        <v>0.95</v>
      </c>
      <c r="AD12" s="11">
        <v>8.3000000000000004E-2</v>
      </c>
      <c r="AE12" s="11">
        <f t="shared" si="0"/>
        <v>1</v>
      </c>
    </row>
    <row r="13" spans="1:31" x14ac:dyDescent="0.3">
      <c r="A13" s="36">
        <v>11</v>
      </c>
      <c r="B13" s="28" t="s">
        <v>67</v>
      </c>
      <c r="C13" s="6" t="s">
        <v>54</v>
      </c>
      <c r="D13" s="29" t="s">
        <v>55</v>
      </c>
      <c r="E13" s="30" t="s">
        <v>56</v>
      </c>
      <c r="F13" s="30" t="s">
        <v>57</v>
      </c>
      <c r="G13" s="31">
        <v>18</v>
      </c>
      <c r="H13" s="32">
        <v>0.84</v>
      </c>
      <c r="I13" s="31">
        <v>20</v>
      </c>
      <c r="J13" s="31">
        <v>20</v>
      </c>
      <c r="K13" s="31">
        <v>55</v>
      </c>
      <c r="L13" s="31">
        <v>540</v>
      </c>
      <c r="M13" s="32">
        <v>8.73</v>
      </c>
      <c r="N13" s="33">
        <v>-1</v>
      </c>
      <c r="O13" s="33">
        <v>-1</v>
      </c>
      <c r="P13" s="33">
        <v>-1</v>
      </c>
      <c r="Q13" s="33">
        <v>-1</v>
      </c>
      <c r="R13" s="32">
        <v>0.95</v>
      </c>
      <c r="S13" s="34">
        <v>0.92</v>
      </c>
      <c r="T13" s="35">
        <v>16.2</v>
      </c>
      <c r="U13" s="35">
        <v>0.47</v>
      </c>
      <c r="V13" s="11">
        <v>160</v>
      </c>
      <c r="W13" s="11">
        <v>4</v>
      </c>
      <c r="X13" s="11">
        <v>320</v>
      </c>
      <c r="Y13" s="11">
        <v>4</v>
      </c>
      <c r="Z13" s="11">
        <v>482</v>
      </c>
      <c r="AA13" s="11">
        <v>0.2</v>
      </c>
      <c r="AB13" s="11">
        <v>0.95</v>
      </c>
      <c r="AC13" s="11">
        <v>0.95</v>
      </c>
      <c r="AD13" s="11">
        <v>8.3000000000000004E-2</v>
      </c>
      <c r="AE13" s="11">
        <f t="shared" si="0"/>
        <v>1</v>
      </c>
    </row>
    <row r="14" spans="1:31" x14ac:dyDescent="0.3">
      <c r="A14" s="36">
        <v>12</v>
      </c>
      <c r="B14" s="28" t="s">
        <v>68</v>
      </c>
      <c r="C14" s="6" t="s">
        <v>54</v>
      </c>
      <c r="D14" s="29" t="s">
        <v>55</v>
      </c>
      <c r="E14" s="30" t="s">
        <v>56</v>
      </c>
      <c r="F14" s="30" t="s">
        <v>57</v>
      </c>
      <c r="G14" s="31">
        <v>18</v>
      </c>
      <c r="H14" s="32">
        <v>0.84</v>
      </c>
      <c r="I14" s="31">
        <v>20</v>
      </c>
      <c r="J14" s="31">
        <v>20</v>
      </c>
      <c r="K14" s="31">
        <v>55</v>
      </c>
      <c r="L14" s="31">
        <v>540</v>
      </c>
      <c r="M14" s="32">
        <v>8.73</v>
      </c>
      <c r="N14" s="33">
        <v>-1</v>
      </c>
      <c r="O14" s="33">
        <v>-1</v>
      </c>
      <c r="P14" s="33">
        <v>-1</v>
      </c>
      <c r="Q14" s="33">
        <v>-1</v>
      </c>
      <c r="R14" s="32">
        <v>0.95</v>
      </c>
      <c r="S14" s="34">
        <v>0.92</v>
      </c>
      <c r="T14" s="35">
        <v>16.2</v>
      </c>
      <c r="U14" s="35">
        <v>0.47</v>
      </c>
      <c r="V14" s="11">
        <v>160</v>
      </c>
      <c r="W14" s="11">
        <v>4</v>
      </c>
      <c r="X14" s="11">
        <v>320</v>
      </c>
      <c r="Y14" s="11">
        <v>4</v>
      </c>
      <c r="Z14" s="11">
        <v>482</v>
      </c>
      <c r="AA14" s="11">
        <v>0.2</v>
      </c>
      <c r="AB14" s="11">
        <v>0.95</v>
      </c>
      <c r="AC14" s="11">
        <v>0.95</v>
      </c>
      <c r="AD14" s="11">
        <v>8.3000000000000004E-2</v>
      </c>
      <c r="AE14" s="11">
        <f t="shared" si="0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F16" sqref="F16"/>
    </sheetView>
  </sheetViews>
  <sheetFormatPr baseColWidth="10" defaultRowHeight="14.4" x14ac:dyDescent="0.3"/>
  <cols>
    <col min="2" max="2" width="13.109375" bestFit="1" customWidth="1"/>
    <col min="3" max="3" width="11.6640625" bestFit="1" customWidth="1"/>
  </cols>
  <sheetData>
    <row r="1" spans="1:9" x14ac:dyDescent="0.3">
      <c r="A1" s="7" t="s">
        <v>0</v>
      </c>
      <c r="B1" s="7" t="s">
        <v>69</v>
      </c>
      <c r="C1" s="7" t="s">
        <v>70</v>
      </c>
      <c r="D1" s="7" t="s">
        <v>71</v>
      </c>
      <c r="E1" s="10" t="s">
        <v>72</v>
      </c>
      <c r="F1" s="10" t="s">
        <v>73</v>
      </c>
      <c r="G1" s="7" t="s">
        <v>74</v>
      </c>
      <c r="H1" s="7" t="s">
        <v>75</v>
      </c>
      <c r="I1" s="7" t="s">
        <v>76</v>
      </c>
    </row>
    <row r="2" spans="1:9" x14ac:dyDescent="0.3">
      <c r="A2" s="10" t="s">
        <v>38</v>
      </c>
      <c r="B2" s="10" t="s">
        <v>39</v>
      </c>
      <c r="C2" s="10" t="s">
        <v>6</v>
      </c>
      <c r="D2" s="22" t="s">
        <v>6</v>
      </c>
      <c r="E2" s="23" t="s">
        <v>6</v>
      </c>
      <c r="F2" s="23" t="s">
        <v>77</v>
      </c>
      <c r="G2" s="24" t="s">
        <v>5</v>
      </c>
      <c r="H2" s="10" t="s">
        <v>43</v>
      </c>
      <c r="I2" s="10" t="s">
        <v>43</v>
      </c>
    </row>
    <row r="3" spans="1:9" x14ac:dyDescent="0.3">
      <c r="A3" s="11">
        <v>1</v>
      </c>
      <c r="B3" s="11" t="s">
        <v>78</v>
      </c>
      <c r="C3" s="11">
        <v>219495</v>
      </c>
      <c r="D3" s="25">
        <v>234851</v>
      </c>
      <c r="E3" s="11">
        <v>35228</v>
      </c>
      <c r="F3" s="11">
        <v>301.74599999999998</v>
      </c>
      <c r="G3" s="26">
        <v>2</v>
      </c>
      <c r="H3" s="11">
        <v>2</v>
      </c>
      <c r="I3" s="11">
        <v>1500</v>
      </c>
    </row>
    <row r="4" spans="1:9" x14ac:dyDescent="0.3">
      <c r="A4" s="11">
        <v>2</v>
      </c>
      <c r="B4" s="11" t="s">
        <v>79</v>
      </c>
      <c r="C4" s="11">
        <v>219495</v>
      </c>
      <c r="D4" s="25">
        <v>234851</v>
      </c>
      <c r="E4" s="11">
        <v>35228</v>
      </c>
      <c r="F4" s="11">
        <v>301.74599999999998</v>
      </c>
      <c r="G4" s="26">
        <v>2</v>
      </c>
      <c r="H4" s="11">
        <v>2</v>
      </c>
      <c r="I4" s="11">
        <v>1500</v>
      </c>
    </row>
    <row r="5" spans="1:9" x14ac:dyDescent="0.3">
      <c r="A5" s="11">
        <v>3</v>
      </c>
      <c r="B5" s="11" t="s">
        <v>80</v>
      </c>
      <c r="C5" s="11">
        <v>219495</v>
      </c>
      <c r="D5" s="25">
        <v>234851</v>
      </c>
      <c r="E5" s="11">
        <v>35228</v>
      </c>
      <c r="F5" s="11">
        <v>301.74599999999998</v>
      </c>
      <c r="G5" s="26">
        <v>2</v>
      </c>
      <c r="H5" s="11">
        <v>2</v>
      </c>
      <c r="I5" s="11">
        <v>1500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D17" sqref="D17"/>
    </sheetView>
  </sheetViews>
  <sheetFormatPr baseColWidth="10" defaultRowHeight="14.4" x14ac:dyDescent="0.3"/>
  <cols>
    <col min="2" max="2" width="13.33203125" bestFit="1" customWidth="1"/>
    <col min="3" max="3" width="12.44140625" bestFit="1" customWidth="1"/>
    <col min="4" max="4" width="14.109375" bestFit="1" customWidth="1"/>
  </cols>
  <sheetData>
    <row r="1" spans="1:6" x14ac:dyDescent="0.3">
      <c r="A1" s="7" t="s">
        <v>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 x14ac:dyDescent="0.3">
      <c r="A2" s="10" t="s">
        <v>38</v>
      </c>
      <c r="B2" s="10" t="s">
        <v>39</v>
      </c>
      <c r="C2" s="10" t="s">
        <v>6</v>
      </c>
      <c r="D2" s="10" t="s">
        <v>43</v>
      </c>
      <c r="E2" s="10" t="s">
        <v>5</v>
      </c>
      <c r="F2" s="10" t="s">
        <v>43</v>
      </c>
    </row>
    <row r="3" spans="1:6" x14ac:dyDescent="0.3">
      <c r="A3" s="11">
        <v>1</v>
      </c>
      <c r="B3" s="11" t="s">
        <v>86</v>
      </c>
      <c r="C3" s="11">
        <v>640000</v>
      </c>
      <c r="D3" s="11">
        <v>640</v>
      </c>
      <c r="E3" s="11">
        <v>1</v>
      </c>
      <c r="F3" s="11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318"/>
  <sheetViews>
    <sheetView topLeftCell="A272" zoomScale="70" zoomScaleNormal="70" workbookViewId="0">
      <selection activeCell="B318" sqref="B318"/>
    </sheetView>
  </sheetViews>
  <sheetFormatPr baseColWidth="10" defaultColWidth="9.109375" defaultRowHeight="14.4" x14ac:dyDescent="0.3"/>
  <cols>
    <col min="1" max="1" width="13.5546875" style="5" bestFit="1" customWidth="1"/>
    <col min="2" max="2" width="13.5546875" style="13" bestFit="1" customWidth="1"/>
    <col min="3" max="3" width="13.5546875" style="6" bestFit="1" customWidth="1"/>
    <col min="4" max="4" width="15.44140625" style="6" bestFit="1" customWidth="1"/>
    <col min="5" max="6" width="29.109375" style="14" bestFit="1" customWidth="1"/>
    <col min="7" max="7" width="13.5546875" style="5" bestFit="1" customWidth="1"/>
  </cols>
  <sheetData>
    <row r="1" spans="1:2" ht="18.75" customHeight="1" x14ac:dyDescent="0.3">
      <c r="A1" s="21" t="s">
        <v>0</v>
      </c>
      <c r="B1" s="21" t="s">
        <v>87</v>
      </c>
    </row>
    <row r="2" spans="1:2" ht="18.75" customHeight="1" x14ac:dyDescent="0.3">
      <c r="A2" t="s">
        <v>38</v>
      </c>
      <c r="B2" t="s">
        <v>39</v>
      </c>
    </row>
    <row r="3" spans="1:2" ht="18.75" customHeight="1" x14ac:dyDescent="0.3">
      <c r="A3">
        <v>1</v>
      </c>
      <c r="B3" s="49" t="s">
        <v>88</v>
      </c>
    </row>
    <row r="4" spans="1:2" ht="18.75" customHeight="1" x14ac:dyDescent="0.3">
      <c r="A4" s="27">
        <v>2</v>
      </c>
      <c r="B4" s="49" t="s">
        <v>89</v>
      </c>
    </row>
    <row r="5" spans="1:2" ht="18.75" customHeight="1" x14ac:dyDescent="0.3">
      <c r="A5" s="27">
        <v>3</v>
      </c>
      <c r="B5" s="49" t="s">
        <v>90</v>
      </c>
    </row>
    <row r="6" spans="1:2" ht="18.75" customHeight="1" x14ac:dyDescent="0.3">
      <c r="A6" s="27">
        <v>4</v>
      </c>
      <c r="B6" s="49" t="s">
        <v>91</v>
      </c>
    </row>
    <row r="7" spans="1:2" ht="18.75" customHeight="1" x14ac:dyDescent="0.3">
      <c r="A7" s="27">
        <v>5</v>
      </c>
      <c r="B7" s="49" t="s">
        <v>92</v>
      </c>
    </row>
    <row r="8" spans="1:2" ht="18.75" customHeight="1" x14ac:dyDescent="0.3">
      <c r="A8" s="27">
        <v>6</v>
      </c>
      <c r="B8" s="49" t="s">
        <v>93</v>
      </c>
    </row>
    <row r="9" spans="1:2" ht="18.75" customHeight="1" x14ac:dyDescent="0.3">
      <c r="A9" s="27">
        <v>7</v>
      </c>
      <c r="B9" s="49" t="s">
        <v>94</v>
      </c>
    </row>
    <row r="10" spans="1:2" ht="18.75" customHeight="1" x14ac:dyDescent="0.3">
      <c r="A10" s="27">
        <v>8</v>
      </c>
      <c r="B10" s="49" t="s">
        <v>95</v>
      </c>
    </row>
    <row r="11" spans="1:2" ht="18.75" customHeight="1" x14ac:dyDescent="0.3">
      <c r="A11" s="27">
        <v>9</v>
      </c>
      <c r="B11" s="49" t="s">
        <v>96</v>
      </c>
    </row>
    <row r="12" spans="1:2" ht="18.75" customHeight="1" x14ac:dyDescent="0.3">
      <c r="A12" s="27">
        <v>10</v>
      </c>
      <c r="B12" s="49" t="s">
        <v>97</v>
      </c>
    </row>
    <row r="13" spans="1:2" ht="18.75" customHeight="1" x14ac:dyDescent="0.3">
      <c r="A13" s="27">
        <v>11</v>
      </c>
      <c r="B13" s="49" t="s">
        <v>98</v>
      </c>
    </row>
    <row r="14" spans="1:2" ht="18.75" customHeight="1" x14ac:dyDescent="0.3">
      <c r="A14" s="27">
        <v>12</v>
      </c>
      <c r="B14" s="13" t="s">
        <v>99</v>
      </c>
    </row>
    <row r="15" spans="1:2" ht="18.75" customHeight="1" x14ac:dyDescent="0.3">
      <c r="A15" s="27">
        <v>13</v>
      </c>
      <c r="B15" s="13" t="s">
        <v>100</v>
      </c>
    </row>
    <row r="16" spans="1:2" ht="18.75" customHeight="1" x14ac:dyDescent="0.3">
      <c r="A16" s="27">
        <v>14</v>
      </c>
      <c r="B16" s="13" t="s">
        <v>101</v>
      </c>
    </row>
    <row r="17" spans="1:2" ht="18.75" customHeight="1" x14ac:dyDescent="0.3">
      <c r="A17" s="27">
        <v>15</v>
      </c>
      <c r="B17" s="13" t="s">
        <v>102</v>
      </c>
    </row>
    <row r="18" spans="1:2" ht="18.75" customHeight="1" x14ac:dyDescent="0.3">
      <c r="A18" s="27">
        <v>16</v>
      </c>
      <c r="B18" s="13" t="s">
        <v>103</v>
      </c>
    </row>
    <row r="19" spans="1:2" ht="18.75" customHeight="1" x14ac:dyDescent="0.3">
      <c r="A19" s="27">
        <v>17</v>
      </c>
      <c r="B19" s="13" t="s">
        <v>104</v>
      </c>
    </row>
    <row r="20" spans="1:2" ht="18.75" customHeight="1" x14ac:dyDescent="0.3">
      <c r="A20" s="27">
        <v>18</v>
      </c>
      <c r="B20" s="13" t="s">
        <v>105</v>
      </c>
    </row>
    <row r="21" spans="1:2" ht="18.75" customHeight="1" x14ac:dyDescent="0.3">
      <c r="A21" s="27">
        <v>19</v>
      </c>
      <c r="B21" s="13" t="s">
        <v>106</v>
      </c>
    </row>
    <row r="22" spans="1:2" ht="18.75" customHeight="1" x14ac:dyDescent="0.3">
      <c r="A22" s="27">
        <v>20</v>
      </c>
      <c r="B22" s="13" t="s">
        <v>107</v>
      </c>
    </row>
    <row r="23" spans="1:2" ht="18.75" customHeight="1" x14ac:dyDescent="0.3">
      <c r="A23" s="27">
        <v>21</v>
      </c>
      <c r="B23" s="13" t="s">
        <v>108</v>
      </c>
    </row>
    <row r="24" spans="1:2" ht="18.75" customHeight="1" x14ac:dyDescent="0.3">
      <c r="A24" s="27">
        <v>22</v>
      </c>
      <c r="B24" s="13" t="s">
        <v>109</v>
      </c>
    </row>
    <row r="25" spans="1:2" ht="18.75" customHeight="1" x14ac:dyDescent="0.3">
      <c r="A25" s="27">
        <v>23</v>
      </c>
      <c r="B25" s="13" t="s">
        <v>110</v>
      </c>
    </row>
    <row r="26" spans="1:2" ht="18.75" customHeight="1" x14ac:dyDescent="0.3">
      <c r="A26" s="27">
        <v>24</v>
      </c>
      <c r="B26" s="49" t="s">
        <v>111</v>
      </c>
    </row>
    <row r="27" spans="1:2" ht="18.75" customHeight="1" x14ac:dyDescent="0.3">
      <c r="A27" s="27">
        <v>25</v>
      </c>
      <c r="B27" s="49" t="s">
        <v>112</v>
      </c>
    </row>
    <row r="28" spans="1:2" ht="18.75" customHeight="1" x14ac:dyDescent="0.3">
      <c r="A28" s="27">
        <v>26</v>
      </c>
      <c r="B28" s="49" t="s">
        <v>113</v>
      </c>
    </row>
    <row r="29" spans="1:2" ht="18.75" customHeight="1" x14ac:dyDescent="0.3">
      <c r="A29" s="27">
        <v>27</v>
      </c>
      <c r="B29" s="49" t="s">
        <v>114</v>
      </c>
    </row>
    <row r="30" spans="1:2" ht="18.75" customHeight="1" x14ac:dyDescent="0.3">
      <c r="A30" s="27">
        <v>28</v>
      </c>
      <c r="B30" s="49" t="s">
        <v>115</v>
      </c>
    </row>
    <row r="31" spans="1:2" ht="18.75" customHeight="1" x14ac:dyDescent="0.3">
      <c r="A31" s="27">
        <v>29</v>
      </c>
      <c r="B31" s="49" t="s">
        <v>116</v>
      </c>
    </row>
    <row r="32" spans="1:2" ht="18.75" customHeight="1" x14ac:dyDescent="0.3">
      <c r="A32" s="27">
        <v>30</v>
      </c>
      <c r="B32" s="49" t="s">
        <v>117</v>
      </c>
    </row>
    <row r="33" spans="1:2" ht="18.75" customHeight="1" x14ac:dyDescent="0.3">
      <c r="A33" s="27">
        <v>31</v>
      </c>
      <c r="B33" s="49" t="s">
        <v>118</v>
      </c>
    </row>
    <row r="34" spans="1:2" ht="18.75" customHeight="1" x14ac:dyDescent="0.3">
      <c r="A34" s="27">
        <v>32</v>
      </c>
      <c r="B34" s="49" t="s">
        <v>119</v>
      </c>
    </row>
    <row r="35" spans="1:2" ht="18.75" customHeight="1" x14ac:dyDescent="0.3">
      <c r="A35" s="27">
        <v>33</v>
      </c>
      <c r="B35" s="49" t="s">
        <v>120</v>
      </c>
    </row>
    <row r="36" spans="1:2" ht="18.75" customHeight="1" x14ac:dyDescent="0.3">
      <c r="A36" s="27">
        <v>34</v>
      </c>
      <c r="B36" s="49" t="s">
        <v>121</v>
      </c>
    </row>
    <row r="37" spans="1:2" ht="18.75" customHeight="1" x14ac:dyDescent="0.3">
      <c r="A37" s="27">
        <v>35</v>
      </c>
      <c r="B37" s="49" t="s">
        <v>122</v>
      </c>
    </row>
    <row r="38" spans="1:2" ht="18.75" customHeight="1" x14ac:dyDescent="0.3">
      <c r="A38" s="27">
        <v>36</v>
      </c>
      <c r="B38" s="49" t="s">
        <v>123</v>
      </c>
    </row>
    <row r="39" spans="1:2" ht="18.75" customHeight="1" x14ac:dyDescent="0.3">
      <c r="A39" s="27">
        <v>37</v>
      </c>
      <c r="B39" s="49" t="s">
        <v>124</v>
      </c>
    </row>
    <row r="40" spans="1:2" ht="18.75" customHeight="1" x14ac:dyDescent="0.3">
      <c r="A40" s="27">
        <v>38</v>
      </c>
      <c r="B40" s="49" t="s">
        <v>125</v>
      </c>
    </row>
    <row r="41" spans="1:2" ht="18.75" customHeight="1" x14ac:dyDescent="0.3">
      <c r="A41" s="27">
        <v>39</v>
      </c>
      <c r="B41" s="49" t="s">
        <v>126</v>
      </c>
    </row>
    <row r="42" spans="1:2" ht="18.75" customHeight="1" x14ac:dyDescent="0.3">
      <c r="A42" s="27">
        <v>40</v>
      </c>
      <c r="B42" s="49" t="s">
        <v>127</v>
      </c>
    </row>
    <row r="43" spans="1:2" x14ac:dyDescent="0.3">
      <c r="A43" s="27">
        <v>41</v>
      </c>
      <c r="B43" s="49" t="s">
        <v>128</v>
      </c>
    </row>
    <row r="44" spans="1:2" x14ac:dyDescent="0.3">
      <c r="A44" s="27">
        <v>42</v>
      </c>
      <c r="B44" s="49" t="s">
        <v>129</v>
      </c>
    </row>
    <row r="45" spans="1:2" x14ac:dyDescent="0.3">
      <c r="A45" s="27">
        <v>43</v>
      </c>
      <c r="B45" s="49" t="s">
        <v>130</v>
      </c>
    </row>
    <row r="46" spans="1:2" x14ac:dyDescent="0.3">
      <c r="A46" s="27">
        <v>44</v>
      </c>
      <c r="B46" s="49" t="s">
        <v>131</v>
      </c>
    </row>
    <row r="47" spans="1:2" x14ac:dyDescent="0.3">
      <c r="A47" s="27">
        <v>45</v>
      </c>
      <c r="B47" s="49" t="s">
        <v>132</v>
      </c>
    </row>
    <row r="48" spans="1:2" x14ac:dyDescent="0.3">
      <c r="A48" s="27">
        <v>46</v>
      </c>
      <c r="B48" s="49" t="s">
        <v>133</v>
      </c>
    </row>
    <row r="49" spans="1:2" x14ac:dyDescent="0.3">
      <c r="A49" s="27">
        <v>47</v>
      </c>
      <c r="B49" s="49" t="s">
        <v>134</v>
      </c>
    </row>
    <row r="50" spans="1:2" x14ac:dyDescent="0.3">
      <c r="A50" s="27">
        <v>48</v>
      </c>
      <c r="B50" s="49" t="s">
        <v>135</v>
      </c>
    </row>
    <row r="51" spans="1:2" x14ac:dyDescent="0.3">
      <c r="A51" s="27">
        <v>49</v>
      </c>
      <c r="B51" s="49" t="s">
        <v>136</v>
      </c>
    </row>
    <row r="52" spans="1:2" x14ac:dyDescent="0.3">
      <c r="A52" s="27">
        <v>50</v>
      </c>
      <c r="B52" s="49" t="s">
        <v>137</v>
      </c>
    </row>
    <row r="53" spans="1:2" x14ac:dyDescent="0.3">
      <c r="A53" s="27">
        <v>51</v>
      </c>
      <c r="B53" s="49" t="s">
        <v>138</v>
      </c>
    </row>
    <row r="54" spans="1:2" x14ac:dyDescent="0.3">
      <c r="A54" s="27">
        <v>52</v>
      </c>
      <c r="B54" s="49" t="s">
        <v>139</v>
      </c>
    </row>
    <row r="55" spans="1:2" x14ac:dyDescent="0.3">
      <c r="A55" s="27">
        <v>53</v>
      </c>
      <c r="B55" s="49" t="s">
        <v>140</v>
      </c>
    </row>
    <row r="56" spans="1:2" x14ac:dyDescent="0.3">
      <c r="A56" s="27">
        <v>54</v>
      </c>
      <c r="B56" s="49" t="s">
        <v>141</v>
      </c>
    </row>
    <row r="57" spans="1:2" x14ac:dyDescent="0.3">
      <c r="A57" s="27">
        <v>55</v>
      </c>
      <c r="B57" s="49" t="s">
        <v>142</v>
      </c>
    </row>
    <row r="58" spans="1:2" x14ac:dyDescent="0.3">
      <c r="A58" s="27">
        <v>56</v>
      </c>
      <c r="B58" s="49" t="s">
        <v>143</v>
      </c>
    </row>
    <row r="59" spans="1:2" x14ac:dyDescent="0.3">
      <c r="A59" s="27">
        <v>57</v>
      </c>
      <c r="B59" s="49" t="s">
        <v>144</v>
      </c>
    </row>
    <row r="60" spans="1:2" x14ac:dyDescent="0.3">
      <c r="A60" s="27">
        <v>58</v>
      </c>
      <c r="B60" s="49" t="s">
        <v>145</v>
      </c>
    </row>
    <row r="61" spans="1:2" x14ac:dyDescent="0.3">
      <c r="A61" s="27">
        <v>59</v>
      </c>
      <c r="B61" s="49" t="s">
        <v>146</v>
      </c>
    </row>
    <row r="62" spans="1:2" x14ac:dyDescent="0.3">
      <c r="A62" s="27">
        <v>60</v>
      </c>
      <c r="B62" s="49" t="s">
        <v>147</v>
      </c>
    </row>
    <row r="63" spans="1:2" x14ac:dyDescent="0.3">
      <c r="A63" s="27">
        <v>61</v>
      </c>
      <c r="B63" s="49" t="s">
        <v>148</v>
      </c>
    </row>
    <row r="64" spans="1:2" x14ac:dyDescent="0.3">
      <c r="A64" s="27">
        <v>62</v>
      </c>
      <c r="B64" s="49" t="s">
        <v>149</v>
      </c>
    </row>
    <row r="65" spans="1:2" x14ac:dyDescent="0.3">
      <c r="A65" s="27">
        <v>63</v>
      </c>
      <c r="B65" s="49" t="s">
        <v>150</v>
      </c>
    </row>
    <row r="66" spans="1:2" x14ac:dyDescent="0.3">
      <c r="A66" s="27">
        <v>64</v>
      </c>
      <c r="B66" s="49" t="s">
        <v>151</v>
      </c>
    </row>
    <row r="67" spans="1:2" x14ac:dyDescent="0.3">
      <c r="A67" s="27">
        <v>65</v>
      </c>
      <c r="B67" s="49" t="s">
        <v>152</v>
      </c>
    </row>
    <row r="68" spans="1:2" x14ac:dyDescent="0.3">
      <c r="A68" s="27">
        <v>66</v>
      </c>
      <c r="B68" s="49" t="s">
        <v>153</v>
      </c>
    </row>
    <row r="69" spans="1:2" x14ac:dyDescent="0.3">
      <c r="A69" s="27">
        <v>67</v>
      </c>
      <c r="B69" s="49" t="s">
        <v>154</v>
      </c>
    </row>
    <row r="70" spans="1:2" x14ac:dyDescent="0.3">
      <c r="A70" s="27">
        <v>68</v>
      </c>
      <c r="B70" s="49" t="s">
        <v>155</v>
      </c>
    </row>
    <row r="71" spans="1:2" x14ac:dyDescent="0.3">
      <c r="A71" s="27">
        <v>69</v>
      </c>
      <c r="B71" s="49" t="s">
        <v>156</v>
      </c>
    </row>
    <row r="72" spans="1:2" x14ac:dyDescent="0.3">
      <c r="A72" s="27">
        <v>70</v>
      </c>
      <c r="B72" s="49" t="s">
        <v>157</v>
      </c>
    </row>
    <row r="73" spans="1:2" x14ac:dyDescent="0.3">
      <c r="A73" s="27">
        <v>71</v>
      </c>
      <c r="B73" s="49" t="s">
        <v>158</v>
      </c>
    </row>
    <row r="74" spans="1:2" x14ac:dyDescent="0.3">
      <c r="A74" s="27">
        <v>72</v>
      </c>
      <c r="B74" s="49" t="s">
        <v>159</v>
      </c>
    </row>
    <row r="75" spans="1:2" x14ac:dyDescent="0.3">
      <c r="A75" s="27">
        <v>73</v>
      </c>
      <c r="B75" s="49" t="s">
        <v>160</v>
      </c>
    </row>
    <row r="76" spans="1:2" x14ac:dyDescent="0.3">
      <c r="A76" s="27">
        <v>74</v>
      </c>
      <c r="B76" s="49" t="s">
        <v>161</v>
      </c>
    </row>
    <row r="77" spans="1:2" x14ac:dyDescent="0.3">
      <c r="A77" s="27">
        <v>75</v>
      </c>
      <c r="B77" s="49" t="s">
        <v>162</v>
      </c>
    </row>
    <row r="78" spans="1:2" x14ac:dyDescent="0.3">
      <c r="A78" s="27">
        <v>76</v>
      </c>
      <c r="B78" s="49" t="s">
        <v>163</v>
      </c>
    </row>
    <row r="79" spans="1:2" x14ac:dyDescent="0.3">
      <c r="A79" s="27">
        <v>77</v>
      </c>
      <c r="B79" s="49" t="s">
        <v>164</v>
      </c>
    </row>
    <row r="80" spans="1:2" x14ac:dyDescent="0.3">
      <c r="A80" s="27">
        <v>78</v>
      </c>
      <c r="B80" s="49" t="s">
        <v>165</v>
      </c>
    </row>
    <row r="81" spans="1:2" x14ac:dyDescent="0.3">
      <c r="A81" s="27">
        <v>79</v>
      </c>
      <c r="B81" s="49" t="s">
        <v>166</v>
      </c>
    </row>
    <row r="82" spans="1:2" x14ac:dyDescent="0.3">
      <c r="A82" s="27">
        <v>80</v>
      </c>
      <c r="B82" s="49" t="s">
        <v>167</v>
      </c>
    </row>
    <row r="83" spans="1:2" x14ac:dyDescent="0.3">
      <c r="A83" s="27">
        <v>81</v>
      </c>
      <c r="B83" s="49" t="s">
        <v>168</v>
      </c>
    </row>
    <row r="84" spans="1:2" x14ac:dyDescent="0.3">
      <c r="A84" s="27">
        <v>82</v>
      </c>
      <c r="B84" s="49" t="s">
        <v>169</v>
      </c>
    </row>
    <row r="85" spans="1:2" x14ac:dyDescent="0.3">
      <c r="A85" s="27">
        <v>83</v>
      </c>
      <c r="B85" s="49" t="s">
        <v>170</v>
      </c>
    </row>
    <row r="86" spans="1:2" x14ac:dyDescent="0.3">
      <c r="A86" s="27">
        <v>84</v>
      </c>
      <c r="B86" s="49" t="s">
        <v>171</v>
      </c>
    </row>
    <row r="87" spans="1:2" x14ac:dyDescent="0.3">
      <c r="A87" s="27">
        <v>85</v>
      </c>
      <c r="B87" s="49" t="s">
        <v>172</v>
      </c>
    </row>
    <row r="88" spans="1:2" x14ac:dyDescent="0.3">
      <c r="A88" s="27">
        <v>86</v>
      </c>
      <c r="B88" s="49" t="s">
        <v>173</v>
      </c>
    </row>
    <row r="89" spans="1:2" x14ac:dyDescent="0.3">
      <c r="A89" s="27">
        <v>87</v>
      </c>
      <c r="B89" s="49" t="s">
        <v>174</v>
      </c>
    </row>
    <row r="90" spans="1:2" x14ac:dyDescent="0.3">
      <c r="A90" s="27">
        <v>88</v>
      </c>
      <c r="B90" s="49" t="s">
        <v>175</v>
      </c>
    </row>
    <row r="91" spans="1:2" x14ac:dyDescent="0.3">
      <c r="A91" s="27">
        <v>89</v>
      </c>
      <c r="B91" s="49" t="s">
        <v>176</v>
      </c>
    </row>
    <row r="92" spans="1:2" x14ac:dyDescent="0.3">
      <c r="A92" s="27">
        <v>90</v>
      </c>
      <c r="B92" s="49" t="s">
        <v>177</v>
      </c>
    </row>
    <row r="93" spans="1:2" x14ac:dyDescent="0.3">
      <c r="A93" s="27">
        <v>91</v>
      </c>
      <c r="B93" s="49" t="s">
        <v>178</v>
      </c>
    </row>
    <row r="94" spans="1:2" x14ac:dyDescent="0.3">
      <c r="A94" s="27">
        <v>92</v>
      </c>
      <c r="B94" s="49" t="s">
        <v>179</v>
      </c>
    </row>
    <row r="95" spans="1:2" x14ac:dyDescent="0.3">
      <c r="A95" s="27">
        <v>93</v>
      </c>
      <c r="B95" s="49" t="s">
        <v>180</v>
      </c>
    </row>
    <row r="96" spans="1:2" x14ac:dyDescent="0.3">
      <c r="A96" s="27">
        <v>94</v>
      </c>
      <c r="B96" s="49" t="s">
        <v>181</v>
      </c>
    </row>
    <row r="97" spans="1:2" x14ac:dyDescent="0.3">
      <c r="A97" s="27">
        <v>95</v>
      </c>
      <c r="B97" s="50" t="s">
        <v>182</v>
      </c>
    </row>
    <row r="98" spans="1:2" x14ac:dyDescent="0.3">
      <c r="A98" s="27">
        <v>96</v>
      </c>
      <c r="B98" s="50" t="s">
        <v>183</v>
      </c>
    </row>
    <row r="99" spans="1:2" x14ac:dyDescent="0.3">
      <c r="A99" s="27">
        <v>97</v>
      </c>
      <c r="B99" s="50" t="s">
        <v>184</v>
      </c>
    </row>
    <row r="100" spans="1:2" x14ac:dyDescent="0.3">
      <c r="A100" s="27">
        <v>98</v>
      </c>
      <c r="B100" s="50" t="s">
        <v>185</v>
      </c>
    </row>
    <row r="101" spans="1:2" x14ac:dyDescent="0.3">
      <c r="A101" s="27">
        <v>99</v>
      </c>
      <c r="B101" s="50" t="s">
        <v>186</v>
      </c>
    </row>
    <row r="102" spans="1:2" x14ac:dyDescent="0.3">
      <c r="A102" s="27">
        <v>100</v>
      </c>
      <c r="B102" s="50" t="s">
        <v>187</v>
      </c>
    </row>
    <row r="103" spans="1:2" x14ac:dyDescent="0.3">
      <c r="A103" s="27">
        <v>101</v>
      </c>
      <c r="B103" s="50" t="s">
        <v>188</v>
      </c>
    </row>
    <row r="104" spans="1:2" x14ac:dyDescent="0.3">
      <c r="A104" s="27">
        <v>102</v>
      </c>
      <c r="B104" s="50" t="s">
        <v>189</v>
      </c>
    </row>
    <row r="105" spans="1:2" x14ac:dyDescent="0.3">
      <c r="A105" s="27">
        <v>103</v>
      </c>
      <c r="B105" s="50" t="s">
        <v>190</v>
      </c>
    </row>
    <row r="106" spans="1:2" x14ac:dyDescent="0.3">
      <c r="A106" s="27">
        <v>104</v>
      </c>
      <c r="B106" s="50" t="s">
        <v>191</v>
      </c>
    </row>
    <row r="107" spans="1:2" x14ac:dyDescent="0.3">
      <c r="A107" s="27">
        <v>105</v>
      </c>
      <c r="B107" s="50" t="s">
        <v>192</v>
      </c>
    </row>
    <row r="108" spans="1:2" x14ac:dyDescent="0.3">
      <c r="A108" s="27">
        <v>106</v>
      </c>
      <c r="B108" s="50" t="s">
        <v>193</v>
      </c>
    </row>
    <row r="109" spans="1:2" x14ac:dyDescent="0.3">
      <c r="A109" s="27">
        <v>107</v>
      </c>
      <c r="B109" s="50" t="s">
        <v>194</v>
      </c>
    </row>
    <row r="110" spans="1:2" x14ac:dyDescent="0.3">
      <c r="A110" s="27">
        <v>108</v>
      </c>
      <c r="B110" s="50" t="s">
        <v>195</v>
      </c>
    </row>
    <row r="111" spans="1:2" x14ac:dyDescent="0.3">
      <c r="A111" s="27">
        <v>109</v>
      </c>
      <c r="B111" s="50" t="s">
        <v>196</v>
      </c>
    </row>
    <row r="112" spans="1:2" x14ac:dyDescent="0.3">
      <c r="A112" s="27">
        <v>110</v>
      </c>
      <c r="B112" s="50" t="s">
        <v>197</v>
      </c>
    </row>
    <row r="113" spans="1:2" x14ac:dyDescent="0.3">
      <c r="A113" s="27">
        <v>111</v>
      </c>
      <c r="B113" s="50" t="s">
        <v>198</v>
      </c>
    </row>
    <row r="114" spans="1:2" x14ac:dyDescent="0.3">
      <c r="A114" s="27">
        <v>112</v>
      </c>
      <c r="B114" s="50" t="s">
        <v>199</v>
      </c>
    </row>
    <row r="115" spans="1:2" x14ac:dyDescent="0.3">
      <c r="A115" s="27">
        <v>113</v>
      </c>
      <c r="B115" s="50" t="s">
        <v>200</v>
      </c>
    </row>
    <row r="116" spans="1:2" x14ac:dyDescent="0.3">
      <c r="A116" s="27">
        <v>114</v>
      </c>
      <c r="B116" s="50" t="s">
        <v>201</v>
      </c>
    </row>
    <row r="117" spans="1:2" x14ac:dyDescent="0.3">
      <c r="A117" s="27">
        <v>115</v>
      </c>
      <c r="B117" s="50" t="s">
        <v>202</v>
      </c>
    </row>
    <row r="118" spans="1:2" x14ac:dyDescent="0.3">
      <c r="A118" s="27">
        <v>116</v>
      </c>
      <c r="B118" s="50" t="s">
        <v>203</v>
      </c>
    </row>
    <row r="119" spans="1:2" x14ac:dyDescent="0.3">
      <c r="A119" s="27">
        <v>117</v>
      </c>
      <c r="B119" s="50" t="s">
        <v>204</v>
      </c>
    </row>
    <row r="120" spans="1:2" x14ac:dyDescent="0.3">
      <c r="A120" s="27">
        <v>118</v>
      </c>
      <c r="B120" s="50" t="s">
        <v>205</v>
      </c>
    </row>
    <row r="121" spans="1:2" x14ac:dyDescent="0.3">
      <c r="A121" s="27">
        <v>119</v>
      </c>
      <c r="B121" s="50" t="s">
        <v>206</v>
      </c>
    </row>
    <row r="122" spans="1:2" x14ac:dyDescent="0.3">
      <c r="A122" s="27">
        <v>120</v>
      </c>
      <c r="B122" s="50" t="s">
        <v>207</v>
      </c>
    </row>
    <row r="123" spans="1:2" x14ac:dyDescent="0.3">
      <c r="A123" s="27">
        <v>121</v>
      </c>
      <c r="B123" s="50" t="s">
        <v>208</v>
      </c>
    </row>
    <row r="124" spans="1:2" x14ac:dyDescent="0.3">
      <c r="A124" s="27">
        <v>122</v>
      </c>
      <c r="B124" s="50" t="s">
        <v>209</v>
      </c>
    </row>
    <row r="125" spans="1:2" x14ac:dyDescent="0.3">
      <c r="A125" s="27">
        <v>123</v>
      </c>
      <c r="B125" s="50" t="s">
        <v>210</v>
      </c>
    </row>
    <row r="126" spans="1:2" x14ac:dyDescent="0.3">
      <c r="A126" s="27">
        <v>124</v>
      </c>
      <c r="B126" s="50" t="s">
        <v>211</v>
      </c>
    </row>
    <row r="127" spans="1:2" x14ac:dyDescent="0.3">
      <c r="A127" s="27">
        <v>125</v>
      </c>
      <c r="B127" s="50" t="s">
        <v>212</v>
      </c>
    </row>
    <row r="128" spans="1:2" x14ac:dyDescent="0.3">
      <c r="A128" s="27">
        <v>126</v>
      </c>
      <c r="B128" s="50" t="s">
        <v>213</v>
      </c>
    </row>
    <row r="129" spans="1:2" x14ac:dyDescent="0.3">
      <c r="A129" s="27">
        <v>127</v>
      </c>
      <c r="B129" s="50" t="s">
        <v>214</v>
      </c>
    </row>
    <row r="130" spans="1:2" x14ac:dyDescent="0.3">
      <c r="A130" s="27">
        <v>128</v>
      </c>
      <c r="B130" s="50" t="s">
        <v>215</v>
      </c>
    </row>
    <row r="131" spans="1:2" x14ac:dyDescent="0.3">
      <c r="A131" s="27">
        <v>129</v>
      </c>
      <c r="B131" s="50" t="s">
        <v>216</v>
      </c>
    </row>
    <row r="132" spans="1:2" x14ac:dyDescent="0.3">
      <c r="A132" s="27">
        <v>130</v>
      </c>
      <c r="B132" s="50" t="s">
        <v>217</v>
      </c>
    </row>
    <row r="133" spans="1:2" x14ac:dyDescent="0.3">
      <c r="A133" s="27">
        <v>131</v>
      </c>
      <c r="B133" s="50" t="s">
        <v>218</v>
      </c>
    </row>
    <row r="134" spans="1:2" x14ac:dyDescent="0.3">
      <c r="A134" s="27">
        <v>132</v>
      </c>
      <c r="B134" s="50" t="s">
        <v>219</v>
      </c>
    </row>
    <row r="135" spans="1:2" x14ac:dyDescent="0.3">
      <c r="A135" s="27">
        <v>133</v>
      </c>
      <c r="B135" s="50" t="s">
        <v>220</v>
      </c>
    </row>
    <row r="136" spans="1:2" x14ac:dyDescent="0.3">
      <c r="A136" s="27">
        <v>134</v>
      </c>
      <c r="B136" s="50" t="s">
        <v>221</v>
      </c>
    </row>
    <row r="137" spans="1:2" x14ac:dyDescent="0.3">
      <c r="A137" s="27">
        <v>135</v>
      </c>
      <c r="B137" s="51" t="s">
        <v>222</v>
      </c>
    </row>
    <row r="138" spans="1:2" x14ac:dyDescent="0.3">
      <c r="A138" s="27">
        <v>136</v>
      </c>
      <c r="B138" s="51" t="s">
        <v>223</v>
      </c>
    </row>
    <row r="139" spans="1:2" x14ac:dyDescent="0.3">
      <c r="A139" s="27">
        <v>137</v>
      </c>
      <c r="B139" s="51" t="s">
        <v>224</v>
      </c>
    </row>
    <row r="140" spans="1:2" x14ac:dyDescent="0.3">
      <c r="A140" s="27">
        <v>138</v>
      </c>
      <c r="B140" s="51" t="s">
        <v>225</v>
      </c>
    </row>
    <row r="141" spans="1:2" x14ac:dyDescent="0.3">
      <c r="A141" s="27">
        <v>139</v>
      </c>
      <c r="B141" s="51" t="s">
        <v>226</v>
      </c>
    </row>
    <row r="142" spans="1:2" x14ac:dyDescent="0.3">
      <c r="A142" s="27">
        <v>140</v>
      </c>
      <c r="B142" s="51" t="s">
        <v>227</v>
      </c>
    </row>
    <row r="143" spans="1:2" x14ac:dyDescent="0.3">
      <c r="A143" s="27">
        <v>141</v>
      </c>
      <c r="B143" s="51" t="s">
        <v>228</v>
      </c>
    </row>
    <row r="144" spans="1:2" x14ac:dyDescent="0.3">
      <c r="A144" s="27">
        <v>142</v>
      </c>
      <c r="B144" s="51" t="s">
        <v>229</v>
      </c>
    </row>
    <row r="145" spans="1:2" x14ac:dyDescent="0.3">
      <c r="A145" s="27">
        <v>143</v>
      </c>
      <c r="B145" s="51" t="s">
        <v>230</v>
      </c>
    </row>
    <row r="146" spans="1:2" x14ac:dyDescent="0.3">
      <c r="A146" s="27">
        <v>144</v>
      </c>
      <c r="B146" s="51" t="s">
        <v>231</v>
      </c>
    </row>
    <row r="147" spans="1:2" x14ac:dyDescent="0.3">
      <c r="A147" s="27">
        <v>145</v>
      </c>
      <c r="B147" s="51" t="s">
        <v>232</v>
      </c>
    </row>
    <row r="148" spans="1:2" x14ac:dyDescent="0.3">
      <c r="A148" s="27">
        <v>146</v>
      </c>
      <c r="B148" s="51" t="s">
        <v>233</v>
      </c>
    </row>
    <row r="149" spans="1:2" x14ac:dyDescent="0.3">
      <c r="A149" s="27">
        <v>147</v>
      </c>
      <c r="B149" s="51" t="s">
        <v>234</v>
      </c>
    </row>
    <row r="150" spans="1:2" x14ac:dyDescent="0.3">
      <c r="A150" s="27">
        <v>148</v>
      </c>
      <c r="B150" s="51" t="s">
        <v>235</v>
      </c>
    </row>
    <row r="151" spans="1:2" x14ac:dyDescent="0.3">
      <c r="A151" s="27">
        <v>149</v>
      </c>
      <c r="B151" s="51" t="s">
        <v>236</v>
      </c>
    </row>
    <row r="152" spans="1:2" x14ac:dyDescent="0.3">
      <c r="A152" s="27">
        <v>150</v>
      </c>
      <c r="B152" s="51" t="s">
        <v>237</v>
      </c>
    </row>
    <row r="153" spans="1:2" x14ac:dyDescent="0.3">
      <c r="A153" s="27">
        <v>151</v>
      </c>
      <c r="B153" s="51" t="s">
        <v>238</v>
      </c>
    </row>
    <row r="154" spans="1:2" x14ac:dyDescent="0.3">
      <c r="A154" s="27">
        <v>152</v>
      </c>
      <c r="B154" s="51" t="s">
        <v>239</v>
      </c>
    </row>
    <row r="155" spans="1:2" x14ac:dyDescent="0.3">
      <c r="A155" s="27">
        <v>153</v>
      </c>
      <c r="B155" s="51" t="s">
        <v>240</v>
      </c>
    </row>
    <row r="156" spans="1:2" x14ac:dyDescent="0.3">
      <c r="A156" s="27">
        <v>154</v>
      </c>
      <c r="B156" s="51" t="s">
        <v>241</v>
      </c>
    </row>
    <row r="157" spans="1:2" x14ac:dyDescent="0.3">
      <c r="A157" s="27">
        <v>155</v>
      </c>
      <c r="B157" s="51" t="s">
        <v>242</v>
      </c>
    </row>
    <row r="158" spans="1:2" x14ac:dyDescent="0.3">
      <c r="A158" s="27">
        <v>156</v>
      </c>
      <c r="B158" s="51" t="s">
        <v>243</v>
      </c>
    </row>
    <row r="159" spans="1:2" x14ac:dyDescent="0.3">
      <c r="A159" s="27">
        <v>157</v>
      </c>
      <c r="B159" s="51" t="s">
        <v>244</v>
      </c>
    </row>
    <row r="160" spans="1:2" x14ac:dyDescent="0.3">
      <c r="A160" s="27">
        <v>158</v>
      </c>
      <c r="B160" s="51" t="s">
        <v>245</v>
      </c>
    </row>
    <row r="161" spans="1:2" x14ac:dyDescent="0.3">
      <c r="A161" s="27">
        <v>159</v>
      </c>
      <c r="B161" s="51" t="s">
        <v>246</v>
      </c>
    </row>
    <row r="162" spans="1:2" x14ac:dyDescent="0.3">
      <c r="A162" s="27">
        <v>160</v>
      </c>
      <c r="B162" s="51" t="s">
        <v>247</v>
      </c>
    </row>
    <row r="163" spans="1:2" x14ac:dyDescent="0.3">
      <c r="A163" s="27">
        <v>161</v>
      </c>
      <c r="B163" s="51" t="s">
        <v>248</v>
      </c>
    </row>
    <row r="164" spans="1:2" x14ac:dyDescent="0.3">
      <c r="A164" s="27">
        <v>162</v>
      </c>
      <c r="B164" s="51" t="s">
        <v>249</v>
      </c>
    </row>
    <row r="165" spans="1:2" x14ac:dyDescent="0.3">
      <c r="A165" s="27">
        <v>163</v>
      </c>
      <c r="B165" s="51" t="s">
        <v>250</v>
      </c>
    </row>
    <row r="166" spans="1:2" x14ac:dyDescent="0.3">
      <c r="A166" s="27">
        <v>164</v>
      </c>
      <c r="B166" s="51" t="s">
        <v>251</v>
      </c>
    </row>
    <row r="167" spans="1:2" x14ac:dyDescent="0.3">
      <c r="A167" s="27">
        <v>165</v>
      </c>
      <c r="B167" s="51" t="s">
        <v>252</v>
      </c>
    </row>
    <row r="168" spans="1:2" x14ac:dyDescent="0.3">
      <c r="A168" s="27">
        <v>166</v>
      </c>
      <c r="B168" s="51" t="s">
        <v>253</v>
      </c>
    </row>
    <row r="169" spans="1:2" x14ac:dyDescent="0.3">
      <c r="A169" s="27">
        <v>167</v>
      </c>
      <c r="B169" s="51" t="s">
        <v>254</v>
      </c>
    </row>
    <row r="170" spans="1:2" x14ac:dyDescent="0.3">
      <c r="A170" s="27">
        <v>168</v>
      </c>
      <c r="B170" s="51" t="s">
        <v>255</v>
      </c>
    </row>
    <row r="171" spans="1:2" x14ac:dyDescent="0.3">
      <c r="A171" s="27">
        <v>169</v>
      </c>
      <c r="B171" s="51" t="s">
        <v>256</v>
      </c>
    </row>
    <row r="172" spans="1:2" x14ac:dyDescent="0.3">
      <c r="A172" s="27">
        <v>170</v>
      </c>
      <c r="B172" s="51" t="s">
        <v>257</v>
      </c>
    </row>
    <row r="173" spans="1:2" x14ac:dyDescent="0.3">
      <c r="A173" s="27">
        <v>171</v>
      </c>
      <c r="B173" s="51" t="s">
        <v>258</v>
      </c>
    </row>
    <row r="174" spans="1:2" x14ac:dyDescent="0.3">
      <c r="A174" s="27">
        <v>172</v>
      </c>
      <c r="B174" s="51" t="s">
        <v>259</v>
      </c>
    </row>
    <row r="175" spans="1:2" x14ac:dyDescent="0.3">
      <c r="A175" s="27">
        <v>173</v>
      </c>
      <c r="B175" s="51" t="s">
        <v>260</v>
      </c>
    </row>
    <row r="176" spans="1:2" x14ac:dyDescent="0.3">
      <c r="A176" s="27">
        <v>174</v>
      </c>
      <c r="B176" s="51" t="s">
        <v>261</v>
      </c>
    </row>
    <row r="177" spans="1:2" x14ac:dyDescent="0.3">
      <c r="A177" s="27">
        <v>175</v>
      </c>
      <c r="B177" s="51" t="s">
        <v>262</v>
      </c>
    </row>
    <row r="178" spans="1:2" x14ac:dyDescent="0.3">
      <c r="A178" s="27">
        <v>176</v>
      </c>
      <c r="B178" s="51" t="s">
        <v>263</v>
      </c>
    </row>
    <row r="179" spans="1:2" x14ac:dyDescent="0.3">
      <c r="A179" s="27">
        <v>177</v>
      </c>
      <c r="B179" s="51" t="s">
        <v>264</v>
      </c>
    </row>
    <row r="180" spans="1:2" x14ac:dyDescent="0.3">
      <c r="A180" s="27">
        <v>178</v>
      </c>
      <c r="B180" s="51" t="s">
        <v>265</v>
      </c>
    </row>
    <row r="181" spans="1:2" x14ac:dyDescent="0.3">
      <c r="A181" s="27">
        <v>179</v>
      </c>
      <c r="B181" s="51" t="s">
        <v>266</v>
      </c>
    </row>
    <row r="182" spans="1:2" x14ac:dyDescent="0.3">
      <c r="A182" s="27">
        <v>180</v>
      </c>
      <c r="B182" s="51" t="s">
        <v>267</v>
      </c>
    </row>
    <row r="183" spans="1:2" x14ac:dyDescent="0.3">
      <c r="A183" s="27">
        <v>181</v>
      </c>
      <c r="B183" s="51" t="s">
        <v>268</v>
      </c>
    </row>
    <row r="184" spans="1:2" x14ac:dyDescent="0.3">
      <c r="A184" s="27">
        <v>182</v>
      </c>
      <c r="B184" s="51" t="s">
        <v>269</v>
      </c>
    </row>
    <row r="185" spans="1:2" x14ac:dyDescent="0.3">
      <c r="A185" s="27">
        <v>183</v>
      </c>
      <c r="B185" s="51" t="s">
        <v>270</v>
      </c>
    </row>
    <row r="186" spans="1:2" x14ac:dyDescent="0.3">
      <c r="A186" s="27">
        <v>184</v>
      </c>
      <c r="B186" s="51" t="s">
        <v>271</v>
      </c>
    </row>
    <row r="187" spans="1:2" x14ac:dyDescent="0.3">
      <c r="A187" s="27">
        <v>185</v>
      </c>
      <c r="B187" s="51" t="s">
        <v>272</v>
      </c>
    </row>
    <row r="188" spans="1:2" x14ac:dyDescent="0.3">
      <c r="A188" s="27">
        <v>186</v>
      </c>
      <c r="B188" s="51" t="s">
        <v>273</v>
      </c>
    </row>
    <row r="189" spans="1:2" x14ac:dyDescent="0.3">
      <c r="A189" s="27">
        <v>187</v>
      </c>
      <c r="B189" s="51" t="s">
        <v>274</v>
      </c>
    </row>
    <row r="190" spans="1:2" x14ac:dyDescent="0.3">
      <c r="A190" s="27">
        <v>188</v>
      </c>
      <c r="B190" s="51" t="s">
        <v>275</v>
      </c>
    </row>
    <row r="191" spans="1:2" x14ac:dyDescent="0.3">
      <c r="A191" s="27">
        <v>189</v>
      </c>
      <c r="B191" s="51" t="s">
        <v>276</v>
      </c>
    </row>
    <row r="192" spans="1:2" x14ac:dyDescent="0.3">
      <c r="A192" s="27">
        <v>190</v>
      </c>
      <c r="B192" s="51" t="s">
        <v>277</v>
      </c>
    </row>
    <row r="193" spans="1:2" x14ac:dyDescent="0.3">
      <c r="A193" s="27">
        <v>191</v>
      </c>
      <c r="B193" s="51" t="s">
        <v>278</v>
      </c>
    </row>
    <row r="194" spans="1:2" x14ac:dyDescent="0.3">
      <c r="A194" s="27">
        <v>192</v>
      </c>
      <c r="B194" s="51" t="s">
        <v>279</v>
      </c>
    </row>
    <row r="195" spans="1:2" x14ac:dyDescent="0.3">
      <c r="A195" s="27">
        <v>193</v>
      </c>
      <c r="B195" s="51" t="s">
        <v>280</v>
      </c>
    </row>
    <row r="196" spans="1:2" x14ac:dyDescent="0.3">
      <c r="A196" s="27">
        <v>194</v>
      </c>
      <c r="B196" s="51" t="s">
        <v>281</v>
      </c>
    </row>
    <row r="197" spans="1:2" x14ac:dyDescent="0.3">
      <c r="A197" s="27">
        <v>195</v>
      </c>
      <c r="B197" s="49" t="s">
        <v>282</v>
      </c>
    </row>
    <row r="198" spans="1:2" x14ac:dyDescent="0.3">
      <c r="A198" s="27">
        <v>196</v>
      </c>
      <c r="B198" s="49" t="s">
        <v>283</v>
      </c>
    </row>
    <row r="199" spans="1:2" x14ac:dyDescent="0.3">
      <c r="A199" s="27">
        <v>197</v>
      </c>
      <c r="B199" s="49" t="s">
        <v>284</v>
      </c>
    </row>
    <row r="200" spans="1:2" x14ac:dyDescent="0.3">
      <c r="A200" s="27">
        <v>198</v>
      </c>
      <c r="B200" s="49" t="s">
        <v>285</v>
      </c>
    </row>
    <row r="201" spans="1:2" x14ac:dyDescent="0.3">
      <c r="A201" s="27">
        <v>199</v>
      </c>
      <c r="B201" s="49" t="s">
        <v>286</v>
      </c>
    </row>
    <row r="202" spans="1:2" x14ac:dyDescent="0.3">
      <c r="A202" s="27">
        <v>200</v>
      </c>
      <c r="B202" s="49" t="s">
        <v>287</v>
      </c>
    </row>
    <row r="203" spans="1:2" x14ac:dyDescent="0.3">
      <c r="A203" s="27">
        <v>201</v>
      </c>
      <c r="B203" s="49" t="s">
        <v>288</v>
      </c>
    </row>
    <row r="204" spans="1:2" x14ac:dyDescent="0.3">
      <c r="A204" s="27">
        <v>202</v>
      </c>
      <c r="B204" s="49" t="s">
        <v>289</v>
      </c>
    </row>
    <row r="205" spans="1:2" x14ac:dyDescent="0.3">
      <c r="A205" s="27">
        <v>203</v>
      </c>
      <c r="B205" s="49" t="s">
        <v>290</v>
      </c>
    </row>
    <row r="206" spans="1:2" x14ac:dyDescent="0.3">
      <c r="A206" s="27">
        <v>204</v>
      </c>
      <c r="B206" s="49" t="s">
        <v>291</v>
      </c>
    </row>
    <row r="207" spans="1:2" x14ac:dyDescent="0.3">
      <c r="A207" s="27">
        <v>205</v>
      </c>
      <c r="B207" s="49" t="s">
        <v>292</v>
      </c>
    </row>
    <row r="208" spans="1:2" x14ac:dyDescent="0.3">
      <c r="A208" s="27">
        <v>206</v>
      </c>
      <c r="B208" s="49" t="s">
        <v>293</v>
      </c>
    </row>
    <row r="209" spans="1:2" x14ac:dyDescent="0.3">
      <c r="A209" s="27">
        <v>207</v>
      </c>
      <c r="B209" s="49" t="s">
        <v>294</v>
      </c>
    </row>
    <row r="210" spans="1:2" x14ac:dyDescent="0.3">
      <c r="A210" s="27">
        <v>208</v>
      </c>
      <c r="B210" s="49" t="s">
        <v>295</v>
      </c>
    </row>
    <row r="211" spans="1:2" x14ac:dyDescent="0.3">
      <c r="A211" s="27">
        <v>209</v>
      </c>
      <c r="B211" s="49" t="s">
        <v>296</v>
      </c>
    </row>
    <row r="212" spans="1:2" x14ac:dyDescent="0.3">
      <c r="A212" s="27">
        <v>210</v>
      </c>
      <c r="B212" s="49" t="s">
        <v>297</v>
      </c>
    </row>
    <row r="213" spans="1:2" x14ac:dyDescent="0.3">
      <c r="A213" s="27">
        <v>211</v>
      </c>
      <c r="B213" s="49" t="s">
        <v>298</v>
      </c>
    </row>
    <row r="214" spans="1:2" x14ac:dyDescent="0.3">
      <c r="A214" s="27">
        <v>212</v>
      </c>
      <c r="B214" s="49" t="s">
        <v>299</v>
      </c>
    </row>
    <row r="215" spans="1:2" x14ac:dyDescent="0.3">
      <c r="A215" s="27">
        <v>213</v>
      </c>
      <c r="B215" s="49" t="s">
        <v>300</v>
      </c>
    </row>
    <row r="216" spans="1:2" x14ac:dyDescent="0.3">
      <c r="A216" s="27">
        <v>214</v>
      </c>
      <c r="B216" s="49" t="s">
        <v>301</v>
      </c>
    </row>
    <row r="217" spans="1:2" x14ac:dyDescent="0.3">
      <c r="A217" s="27">
        <v>215</v>
      </c>
      <c r="B217" s="49" t="s">
        <v>302</v>
      </c>
    </row>
    <row r="218" spans="1:2" x14ac:dyDescent="0.3">
      <c r="A218" s="27">
        <v>216</v>
      </c>
      <c r="B218" s="49" t="s">
        <v>303</v>
      </c>
    </row>
    <row r="219" spans="1:2" x14ac:dyDescent="0.3">
      <c r="A219" s="27">
        <v>217</v>
      </c>
      <c r="B219" s="49" t="s">
        <v>304</v>
      </c>
    </row>
    <row r="220" spans="1:2" x14ac:dyDescent="0.3">
      <c r="A220" s="27">
        <v>218</v>
      </c>
      <c r="B220" s="49" t="s">
        <v>305</v>
      </c>
    </row>
    <row r="221" spans="1:2" x14ac:dyDescent="0.3">
      <c r="A221" s="27">
        <v>219</v>
      </c>
      <c r="B221" s="49" t="s">
        <v>306</v>
      </c>
    </row>
    <row r="222" spans="1:2" x14ac:dyDescent="0.3">
      <c r="A222" s="27">
        <v>220</v>
      </c>
      <c r="B222" s="49" t="s">
        <v>307</v>
      </c>
    </row>
    <row r="223" spans="1:2" x14ac:dyDescent="0.3">
      <c r="A223" s="27">
        <v>221</v>
      </c>
      <c r="B223" s="49" t="s">
        <v>308</v>
      </c>
    </row>
    <row r="224" spans="1:2" x14ac:dyDescent="0.3">
      <c r="A224" s="27">
        <v>222</v>
      </c>
      <c r="B224" s="49" t="s">
        <v>309</v>
      </c>
    </row>
    <row r="225" spans="1:2" x14ac:dyDescent="0.3">
      <c r="A225" s="27">
        <v>223</v>
      </c>
      <c r="B225" s="49" t="s">
        <v>310</v>
      </c>
    </row>
    <row r="226" spans="1:2" x14ac:dyDescent="0.3">
      <c r="A226" s="27">
        <v>224</v>
      </c>
      <c r="B226" s="49" t="s">
        <v>311</v>
      </c>
    </row>
    <row r="227" spans="1:2" x14ac:dyDescent="0.3">
      <c r="A227" s="27">
        <v>225</v>
      </c>
      <c r="B227" s="49" t="s">
        <v>312</v>
      </c>
    </row>
    <row r="228" spans="1:2" x14ac:dyDescent="0.3">
      <c r="A228" s="27">
        <v>226</v>
      </c>
      <c r="B228" s="49" t="s">
        <v>313</v>
      </c>
    </row>
    <row r="229" spans="1:2" x14ac:dyDescent="0.3">
      <c r="A229" s="27">
        <v>227</v>
      </c>
      <c r="B229" s="49" t="s">
        <v>314</v>
      </c>
    </row>
    <row r="230" spans="1:2" x14ac:dyDescent="0.3">
      <c r="A230" s="27">
        <v>228</v>
      </c>
      <c r="B230" s="49" t="s">
        <v>315</v>
      </c>
    </row>
    <row r="231" spans="1:2" x14ac:dyDescent="0.3">
      <c r="A231" s="27">
        <v>229</v>
      </c>
      <c r="B231" s="49" t="s">
        <v>316</v>
      </c>
    </row>
    <row r="232" spans="1:2" x14ac:dyDescent="0.3">
      <c r="A232" s="27">
        <v>230</v>
      </c>
      <c r="B232" s="49" t="s">
        <v>317</v>
      </c>
    </row>
    <row r="233" spans="1:2" x14ac:dyDescent="0.3">
      <c r="A233" s="27">
        <v>231</v>
      </c>
      <c r="B233" s="49" t="s">
        <v>318</v>
      </c>
    </row>
    <row r="234" spans="1:2" x14ac:dyDescent="0.3">
      <c r="A234" s="27">
        <v>232</v>
      </c>
      <c r="B234" s="49" t="s">
        <v>319</v>
      </c>
    </row>
    <row r="235" spans="1:2" x14ac:dyDescent="0.3">
      <c r="A235" s="27">
        <v>233</v>
      </c>
      <c r="B235" s="49" t="s">
        <v>320</v>
      </c>
    </row>
    <row r="236" spans="1:2" x14ac:dyDescent="0.3">
      <c r="A236" s="27">
        <v>234</v>
      </c>
      <c r="B236" s="49" t="s">
        <v>321</v>
      </c>
    </row>
    <row r="237" spans="1:2" x14ac:dyDescent="0.3">
      <c r="A237" s="27">
        <v>235</v>
      </c>
      <c r="B237" s="49" t="s">
        <v>322</v>
      </c>
    </row>
    <row r="238" spans="1:2" x14ac:dyDescent="0.3">
      <c r="A238" s="27">
        <v>236</v>
      </c>
      <c r="B238" s="49" t="s">
        <v>323</v>
      </c>
    </row>
    <row r="239" spans="1:2" x14ac:dyDescent="0.3">
      <c r="A239" s="27">
        <v>237</v>
      </c>
      <c r="B239" s="49" t="s">
        <v>324</v>
      </c>
    </row>
    <row r="240" spans="1:2" x14ac:dyDescent="0.3">
      <c r="A240" s="27">
        <v>238</v>
      </c>
      <c r="B240" s="49" t="s">
        <v>325</v>
      </c>
    </row>
    <row r="241" spans="1:2" x14ac:dyDescent="0.3">
      <c r="A241" s="27">
        <v>239</v>
      </c>
      <c r="B241" s="49" t="s">
        <v>326</v>
      </c>
    </row>
    <row r="242" spans="1:2" x14ac:dyDescent="0.3">
      <c r="A242" s="27">
        <v>240</v>
      </c>
      <c r="B242" s="49" t="s">
        <v>327</v>
      </c>
    </row>
    <row r="243" spans="1:2" x14ac:dyDescent="0.3">
      <c r="A243" s="27">
        <v>241</v>
      </c>
      <c r="B243" s="49" t="s">
        <v>328</v>
      </c>
    </row>
    <row r="244" spans="1:2" x14ac:dyDescent="0.3">
      <c r="A244" s="27">
        <v>242</v>
      </c>
      <c r="B244" s="49" t="s">
        <v>329</v>
      </c>
    </row>
    <row r="245" spans="1:2" x14ac:dyDescent="0.3">
      <c r="A245" s="27">
        <v>243</v>
      </c>
      <c r="B245" s="49" t="s">
        <v>330</v>
      </c>
    </row>
    <row r="246" spans="1:2" x14ac:dyDescent="0.3">
      <c r="A246" s="27">
        <v>244</v>
      </c>
      <c r="B246" s="49" t="s">
        <v>331</v>
      </c>
    </row>
    <row r="247" spans="1:2" x14ac:dyDescent="0.3">
      <c r="A247" s="27">
        <v>245</v>
      </c>
      <c r="B247" s="49" t="s">
        <v>332</v>
      </c>
    </row>
    <row r="248" spans="1:2" x14ac:dyDescent="0.3">
      <c r="A248" s="27">
        <v>247</v>
      </c>
      <c r="B248" s="49" t="s">
        <v>333</v>
      </c>
    </row>
    <row r="249" spans="1:2" x14ac:dyDescent="0.3">
      <c r="A249" s="27">
        <v>248</v>
      </c>
      <c r="B249" s="49" t="s">
        <v>334</v>
      </c>
    </row>
    <row r="250" spans="1:2" x14ac:dyDescent="0.3">
      <c r="A250" s="27">
        <v>249</v>
      </c>
      <c r="B250" s="49" t="s">
        <v>335</v>
      </c>
    </row>
    <row r="251" spans="1:2" x14ac:dyDescent="0.3">
      <c r="A251" s="27">
        <v>250</v>
      </c>
      <c r="B251" s="49" t="s">
        <v>336</v>
      </c>
    </row>
    <row r="252" spans="1:2" x14ac:dyDescent="0.3">
      <c r="A252" s="27">
        <v>251</v>
      </c>
      <c r="B252" s="49" t="s">
        <v>337</v>
      </c>
    </row>
    <row r="253" spans="1:2" x14ac:dyDescent="0.3">
      <c r="A253" s="27">
        <v>252</v>
      </c>
      <c r="B253" s="49" t="s">
        <v>338</v>
      </c>
    </row>
    <row r="254" spans="1:2" x14ac:dyDescent="0.3">
      <c r="A254" s="27">
        <v>253</v>
      </c>
      <c r="B254" s="49" t="s">
        <v>339</v>
      </c>
    </row>
    <row r="255" spans="1:2" x14ac:dyDescent="0.3">
      <c r="A255" s="27">
        <v>254</v>
      </c>
      <c r="B255" s="49" t="s">
        <v>340</v>
      </c>
    </row>
    <row r="256" spans="1:2" x14ac:dyDescent="0.3">
      <c r="A256" s="27">
        <v>255</v>
      </c>
      <c r="B256" s="49" t="s">
        <v>341</v>
      </c>
    </row>
    <row r="257" spans="1:2" x14ac:dyDescent="0.3">
      <c r="A257" s="27">
        <v>256</v>
      </c>
      <c r="B257" s="49" t="s">
        <v>342</v>
      </c>
    </row>
    <row r="258" spans="1:2" x14ac:dyDescent="0.3">
      <c r="A258" s="27">
        <v>257</v>
      </c>
      <c r="B258" s="49" t="s">
        <v>343</v>
      </c>
    </row>
    <row r="259" spans="1:2" x14ac:dyDescent="0.3">
      <c r="A259" s="27">
        <v>258</v>
      </c>
      <c r="B259" s="49" t="s">
        <v>344</v>
      </c>
    </row>
    <row r="260" spans="1:2" x14ac:dyDescent="0.3">
      <c r="A260" s="27">
        <v>259</v>
      </c>
      <c r="B260" s="49" t="s">
        <v>345</v>
      </c>
    </row>
    <row r="261" spans="1:2" x14ac:dyDescent="0.3">
      <c r="A261" s="27">
        <v>260</v>
      </c>
      <c r="B261" s="49" t="s">
        <v>346</v>
      </c>
    </row>
    <row r="262" spans="1:2" x14ac:dyDescent="0.3">
      <c r="A262" s="27">
        <v>261</v>
      </c>
      <c r="B262" s="49" t="s">
        <v>347</v>
      </c>
    </row>
    <row r="263" spans="1:2" x14ac:dyDescent="0.3">
      <c r="A263" s="27">
        <v>262</v>
      </c>
      <c r="B263" s="49" t="s">
        <v>348</v>
      </c>
    </row>
    <row r="264" spans="1:2" x14ac:dyDescent="0.3">
      <c r="A264" s="27">
        <v>263</v>
      </c>
      <c r="B264" s="49" t="s">
        <v>349</v>
      </c>
    </row>
    <row r="265" spans="1:2" x14ac:dyDescent="0.3">
      <c r="A265" s="27">
        <v>264</v>
      </c>
      <c r="B265" s="49" t="s">
        <v>350</v>
      </c>
    </row>
    <row r="266" spans="1:2" x14ac:dyDescent="0.3">
      <c r="A266" s="27">
        <v>265</v>
      </c>
      <c r="B266" s="49" t="s">
        <v>351</v>
      </c>
    </row>
    <row r="267" spans="1:2" x14ac:dyDescent="0.3">
      <c r="A267" s="27">
        <v>266</v>
      </c>
      <c r="B267" s="49" t="s">
        <v>352</v>
      </c>
    </row>
    <row r="268" spans="1:2" x14ac:dyDescent="0.3">
      <c r="A268" s="27">
        <v>267</v>
      </c>
      <c r="B268" s="49" t="s">
        <v>353</v>
      </c>
    </row>
    <row r="269" spans="1:2" x14ac:dyDescent="0.3">
      <c r="A269" s="27">
        <v>268</v>
      </c>
      <c r="B269" s="49" t="s">
        <v>354</v>
      </c>
    </row>
    <row r="270" spans="1:2" x14ac:dyDescent="0.3">
      <c r="A270" s="27">
        <v>269</v>
      </c>
      <c r="B270" s="49" t="s">
        <v>355</v>
      </c>
    </row>
    <row r="271" spans="1:2" x14ac:dyDescent="0.3">
      <c r="A271" s="27">
        <v>270</v>
      </c>
      <c r="B271" s="49" t="s">
        <v>356</v>
      </c>
    </row>
    <row r="272" spans="1:2" x14ac:dyDescent="0.3">
      <c r="A272" s="27">
        <v>271</v>
      </c>
      <c r="B272" s="49" t="s">
        <v>357</v>
      </c>
    </row>
    <row r="273" spans="1:2" x14ac:dyDescent="0.3">
      <c r="A273" s="27">
        <v>272</v>
      </c>
      <c r="B273" s="49" t="s">
        <v>358</v>
      </c>
    </row>
    <row r="274" spans="1:2" x14ac:dyDescent="0.3">
      <c r="A274" s="27">
        <v>273</v>
      </c>
      <c r="B274" s="49" t="s">
        <v>359</v>
      </c>
    </row>
    <row r="275" spans="1:2" x14ac:dyDescent="0.3">
      <c r="A275" s="27">
        <v>274</v>
      </c>
      <c r="B275" s="49" t="s">
        <v>360</v>
      </c>
    </row>
    <row r="276" spans="1:2" x14ac:dyDescent="0.3">
      <c r="A276" s="27">
        <v>275</v>
      </c>
      <c r="B276" s="49" t="s">
        <v>361</v>
      </c>
    </row>
    <row r="277" spans="1:2" x14ac:dyDescent="0.3">
      <c r="A277" s="27">
        <v>276</v>
      </c>
      <c r="B277" s="49" t="s">
        <v>362</v>
      </c>
    </row>
    <row r="278" spans="1:2" x14ac:dyDescent="0.3">
      <c r="A278" s="27">
        <v>277</v>
      </c>
      <c r="B278" s="49" t="s">
        <v>363</v>
      </c>
    </row>
    <row r="279" spans="1:2" x14ac:dyDescent="0.3">
      <c r="A279" s="27">
        <v>278</v>
      </c>
      <c r="B279" s="49" t="s">
        <v>364</v>
      </c>
    </row>
    <row r="280" spans="1:2" x14ac:dyDescent="0.3">
      <c r="A280" s="27">
        <v>279</v>
      </c>
      <c r="B280" s="49" t="s">
        <v>365</v>
      </c>
    </row>
    <row r="281" spans="1:2" x14ac:dyDescent="0.3">
      <c r="A281" s="27">
        <v>280</v>
      </c>
      <c r="B281" s="49" t="s">
        <v>366</v>
      </c>
    </row>
    <row r="282" spans="1:2" x14ac:dyDescent="0.3">
      <c r="A282" s="27">
        <v>281</v>
      </c>
      <c r="B282" s="49" t="s">
        <v>367</v>
      </c>
    </row>
    <row r="283" spans="1:2" x14ac:dyDescent="0.3">
      <c r="A283" s="27">
        <v>282</v>
      </c>
      <c r="B283" s="49" t="s">
        <v>368</v>
      </c>
    </row>
    <row r="284" spans="1:2" x14ac:dyDescent="0.3">
      <c r="A284" s="27">
        <v>283</v>
      </c>
      <c r="B284" s="49" t="s">
        <v>369</v>
      </c>
    </row>
    <row r="285" spans="1:2" x14ac:dyDescent="0.3">
      <c r="A285" s="27">
        <v>284</v>
      </c>
      <c r="B285" s="49" t="s">
        <v>370</v>
      </c>
    </row>
    <row r="286" spans="1:2" x14ac:dyDescent="0.3">
      <c r="A286" s="27">
        <v>285</v>
      </c>
      <c r="B286" s="49" t="s">
        <v>371</v>
      </c>
    </row>
    <row r="287" spans="1:2" x14ac:dyDescent="0.3">
      <c r="A287" s="27">
        <v>286</v>
      </c>
      <c r="B287" s="49" t="s">
        <v>372</v>
      </c>
    </row>
    <row r="288" spans="1:2" x14ac:dyDescent="0.3">
      <c r="A288" s="27">
        <v>287</v>
      </c>
      <c r="B288" s="49" t="s">
        <v>373</v>
      </c>
    </row>
    <row r="289" spans="1:2" x14ac:dyDescent="0.3">
      <c r="A289" s="27">
        <v>288</v>
      </c>
      <c r="B289" s="49" t="s">
        <v>374</v>
      </c>
    </row>
    <row r="290" spans="1:2" x14ac:dyDescent="0.3">
      <c r="A290" s="27">
        <v>289</v>
      </c>
      <c r="B290" s="49" t="s">
        <v>375</v>
      </c>
    </row>
    <row r="291" spans="1:2" x14ac:dyDescent="0.3">
      <c r="B291" s="6"/>
    </row>
    <row r="292" spans="1:2" x14ac:dyDescent="0.3">
      <c r="B292" s="6"/>
    </row>
    <row r="293" spans="1:2" x14ac:dyDescent="0.3">
      <c r="B293" s="6"/>
    </row>
    <row r="294" spans="1:2" x14ac:dyDescent="0.3">
      <c r="B294" s="6"/>
    </row>
    <row r="295" spans="1:2" x14ac:dyDescent="0.3">
      <c r="B295" s="6"/>
    </row>
    <row r="296" spans="1:2" x14ac:dyDescent="0.3">
      <c r="B296" s="6"/>
    </row>
    <row r="297" spans="1:2" x14ac:dyDescent="0.3">
      <c r="B297" s="6"/>
    </row>
    <row r="298" spans="1:2" x14ac:dyDescent="0.3">
      <c r="B298" s="6"/>
    </row>
    <row r="299" spans="1:2" x14ac:dyDescent="0.3">
      <c r="B299" s="6"/>
    </row>
    <row r="300" spans="1:2" x14ac:dyDescent="0.3">
      <c r="B300" s="6"/>
    </row>
    <row r="301" spans="1:2" x14ac:dyDescent="0.3">
      <c r="B301" s="6"/>
    </row>
    <row r="302" spans="1:2" x14ac:dyDescent="0.3">
      <c r="B302" s="6"/>
    </row>
    <row r="303" spans="1:2" x14ac:dyDescent="0.3">
      <c r="B303" s="6"/>
    </row>
    <row r="304" spans="1:2" x14ac:dyDescent="0.3">
      <c r="B304" s="6"/>
    </row>
    <row r="305" spans="2:2" x14ac:dyDescent="0.3">
      <c r="B305" s="6"/>
    </row>
    <row r="306" spans="2:2" x14ac:dyDescent="0.3">
      <c r="B306" s="6"/>
    </row>
    <row r="307" spans="2:2" x14ac:dyDescent="0.3">
      <c r="B307" s="6"/>
    </row>
    <row r="308" spans="2:2" x14ac:dyDescent="0.3">
      <c r="B308" s="6"/>
    </row>
    <row r="309" spans="2:2" x14ac:dyDescent="0.3">
      <c r="B309" s="6"/>
    </row>
    <row r="310" spans="2:2" x14ac:dyDescent="0.3">
      <c r="B310" s="6"/>
    </row>
    <row r="311" spans="2:2" x14ac:dyDescent="0.3">
      <c r="B311" s="6"/>
    </row>
    <row r="312" spans="2:2" x14ac:dyDescent="0.3">
      <c r="B312" s="6"/>
    </row>
    <row r="313" spans="2:2" x14ac:dyDescent="0.3">
      <c r="B313" s="6"/>
    </row>
    <row r="314" spans="2:2" x14ac:dyDescent="0.3">
      <c r="B314" s="6"/>
    </row>
    <row r="315" spans="2:2" x14ac:dyDescent="0.3">
      <c r="B315" s="6"/>
    </row>
    <row r="316" spans="2:2" x14ac:dyDescent="0.3">
      <c r="B316" s="6"/>
    </row>
    <row r="317" spans="2:2" x14ac:dyDescent="0.3">
      <c r="B317" s="6"/>
    </row>
    <row r="318" spans="2:2" x14ac:dyDescent="0.3">
      <c r="B31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3"/>
  <sheetViews>
    <sheetView workbookViewId="0">
      <selection activeCell="G19" sqref="G19"/>
    </sheetView>
  </sheetViews>
  <sheetFormatPr baseColWidth="10" defaultColWidth="9.109375" defaultRowHeight="14.4" x14ac:dyDescent="0.3"/>
  <cols>
    <col min="1" max="1" width="13.5546875" style="4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21" t="s">
        <v>0</v>
      </c>
      <c r="B1" s="21" t="s">
        <v>87</v>
      </c>
      <c r="C1" s="21" t="s">
        <v>376</v>
      </c>
    </row>
    <row r="2" spans="1:3" ht="18.75" customHeight="1" x14ac:dyDescent="0.3">
      <c r="A2" t="s">
        <v>38</v>
      </c>
      <c r="B2" t="s">
        <v>39</v>
      </c>
      <c r="C2" t="s">
        <v>39</v>
      </c>
    </row>
    <row r="3" spans="1:3" ht="18.75" customHeight="1" x14ac:dyDescent="0.3">
      <c r="A3" s="2">
        <v>0</v>
      </c>
      <c r="B3" s="3" t="s">
        <v>377</v>
      </c>
      <c r="C3" s="3" t="s">
        <v>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selection activeCell="E4" sqref="E4"/>
    </sheetView>
  </sheetViews>
  <sheetFormatPr baseColWidth="10" defaultRowHeight="14.4" x14ac:dyDescent="0.3"/>
  <cols>
    <col min="4" max="4" width="14.109375" customWidth="1"/>
    <col min="5" max="5" width="14.21875" customWidth="1"/>
  </cols>
  <sheetData>
    <row r="1" spans="1:7" ht="15.75" customHeight="1" x14ac:dyDescent="0.3">
      <c r="A1" s="1" t="s">
        <v>0</v>
      </c>
      <c r="B1" s="1" t="s">
        <v>8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</row>
    <row r="2" spans="1:7" ht="15.75" customHeight="1" x14ac:dyDescent="0.3">
      <c r="A2" s="1" t="s">
        <v>38</v>
      </c>
      <c r="B2" s="1" t="s">
        <v>39</v>
      </c>
      <c r="C2" s="1" t="s">
        <v>39</v>
      </c>
      <c r="D2" s="1" t="s">
        <v>77</v>
      </c>
      <c r="E2" s="1" t="s">
        <v>384</v>
      </c>
      <c r="F2" s="1" t="s">
        <v>43</v>
      </c>
      <c r="G2" s="1" t="s">
        <v>38</v>
      </c>
    </row>
    <row r="3" spans="1:7" x14ac:dyDescent="0.3">
      <c r="A3" s="2">
        <v>1</v>
      </c>
      <c r="B3" s="3" t="s">
        <v>385</v>
      </c>
      <c r="C3" s="3" t="s">
        <v>386</v>
      </c>
      <c r="D3" s="2">
        <v>273</v>
      </c>
      <c r="E3" s="3">
        <v>6.5</v>
      </c>
      <c r="F3" s="3">
        <v>500</v>
      </c>
      <c r="G3" s="2">
        <v>0</v>
      </c>
    </row>
    <row r="4" spans="1:7" x14ac:dyDescent="0.3">
      <c r="A4" s="2">
        <v>2</v>
      </c>
      <c r="B4" s="3" t="s">
        <v>387</v>
      </c>
      <c r="C4" s="3" t="s">
        <v>388</v>
      </c>
      <c r="D4" s="2">
        <v>1119</v>
      </c>
      <c r="E4" s="3">
        <v>21.6</v>
      </c>
      <c r="F4" s="3">
        <v>500</v>
      </c>
      <c r="G4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>
      <selection activeCell="E17" sqref="E17"/>
    </sheetView>
  </sheetViews>
  <sheetFormatPr baseColWidth="10" defaultRowHeight="14.4" x14ac:dyDescent="0.3"/>
  <sheetData>
    <row r="1" spans="1:9" ht="15.75" customHeight="1" x14ac:dyDescent="0.3">
      <c r="A1" s="1" t="s">
        <v>0</v>
      </c>
      <c r="B1" s="1" t="s">
        <v>8</v>
      </c>
      <c r="C1" s="1" t="s">
        <v>380</v>
      </c>
      <c r="D1" s="1" t="s">
        <v>381</v>
      </c>
      <c r="E1" s="1" t="s">
        <v>382</v>
      </c>
      <c r="F1" s="1" t="s">
        <v>389</v>
      </c>
      <c r="G1" s="1" t="s">
        <v>390</v>
      </c>
      <c r="H1" s="15" t="s">
        <v>391</v>
      </c>
      <c r="I1" s="16" t="s">
        <v>392</v>
      </c>
    </row>
    <row r="2" spans="1:9" ht="15.75" customHeight="1" x14ac:dyDescent="0.3">
      <c r="A2" s="1" t="s">
        <v>38</v>
      </c>
      <c r="B2" s="1" t="s">
        <v>39</v>
      </c>
      <c r="C2" s="1" t="s">
        <v>6</v>
      </c>
      <c r="D2" s="1" t="s">
        <v>393</v>
      </c>
      <c r="E2" s="1" t="s">
        <v>43</v>
      </c>
      <c r="F2" s="1" t="s">
        <v>38</v>
      </c>
      <c r="G2" s="1" t="s">
        <v>51</v>
      </c>
      <c r="H2" s="15" t="s">
        <v>51</v>
      </c>
      <c r="I2" s="16" t="s">
        <v>5</v>
      </c>
    </row>
    <row r="3" spans="1:9" x14ac:dyDescent="0.3">
      <c r="A3" s="2">
        <v>1</v>
      </c>
      <c r="B3" s="3" t="s">
        <v>394</v>
      </c>
      <c r="C3" s="3">
        <f>100.9*1000</f>
        <v>100900</v>
      </c>
      <c r="D3" s="2">
        <f>2.9*H3</f>
        <v>2900</v>
      </c>
      <c r="E3" s="3">
        <v>250</v>
      </c>
      <c r="F3" s="3">
        <v>0.98</v>
      </c>
      <c r="G3" s="2">
        <v>0</v>
      </c>
      <c r="H3" s="17">
        <v>1000</v>
      </c>
      <c r="I3" s="2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selection activeCell="C18" sqref="C18"/>
    </sheetView>
  </sheetViews>
  <sheetFormatPr baseColWidth="10" defaultRowHeight="14.4" x14ac:dyDescent="0.3"/>
  <cols>
    <col min="1" max="1" width="3.44140625" bestFit="1" customWidth="1"/>
    <col min="2" max="2" width="13" bestFit="1" customWidth="1"/>
    <col min="3" max="3" width="13.88671875" bestFit="1" customWidth="1"/>
    <col min="4" max="4" width="21.88671875" bestFit="1" customWidth="1"/>
    <col min="5" max="5" width="13.5546875" bestFit="1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5" t="s">
        <v>3</v>
      </c>
      <c r="E1" s="16" t="s">
        <v>4</v>
      </c>
    </row>
    <row r="2" spans="1:5" ht="15.75" customHeight="1" x14ac:dyDescent="0.3">
      <c r="A2" s="1" t="s">
        <v>5</v>
      </c>
      <c r="B2" s="12" t="s">
        <v>5</v>
      </c>
      <c r="C2" s="1" t="s">
        <v>6</v>
      </c>
      <c r="D2" s="15" t="s">
        <v>6</v>
      </c>
      <c r="E2" s="16" t="s">
        <v>7</v>
      </c>
    </row>
    <row r="3" spans="1:5" x14ac:dyDescent="0.3">
      <c r="A3" s="17">
        <v>1</v>
      </c>
      <c r="B3" s="11">
        <v>4.2082000000000001E-2</v>
      </c>
      <c r="C3" s="18">
        <v>299000</v>
      </c>
      <c r="D3" s="19">
        <v>0.8</v>
      </c>
      <c r="E3" s="11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selection activeCell="H18" sqref="H18"/>
    </sheetView>
  </sheetViews>
  <sheetFormatPr baseColWidth="10" defaultRowHeight="14.4" x14ac:dyDescent="0.3"/>
  <cols>
    <col min="3" max="3" width="12.44140625" style="6" bestFit="1" customWidth="1"/>
  </cols>
  <sheetData>
    <row r="1" spans="1:3" ht="15.75" customHeight="1" x14ac:dyDescent="0.3">
      <c r="A1" s="1" t="s">
        <v>0</v>
      </c>
      <c r="B1" s="1" t="s">
        <v>395</v>
      </c>
      <c r="C1" s="1" t="s">
        <v>396</v>
      </c>
    </row>
    <row r="2" spans="1:3" ht="15.75" customHeight="1" x14ac:dyDescent="0.3">
      <c r="A2" s="1" t="s">
        <v>5</v>
      </c>
      <c r="B2" s="12" t="s">
        <v>5</v>
      </c>
      <c r="C2" s="1" t="s">
        <v>5</v>
      </c>
    </row>
    <row r="3" spans="1:3" x14ac:dyDescent="0.3">
      <c r="A3" s="17">
        <v>1</v>
      </c>
      <c r="B3" s="11">
        <v>1</v>
      </c>
      <c r="C3" s="52">
        <v>1</v>
      </c>
    </row>
    <row r="4" spans="1:3" x14ac:dyDescent="0.3">
      <c r="A4" s="17">
        <v>2</v>
      </c>
      <c r="B4" s="11">
        <v>2</v>
      </c>
      <c r="C4" s="52">
        <v>5</v>
      </c>
    </row>
    <row r="5" spans="1:3" x14ac:dyDescent="0.3">
      <c r="A5" s="17">
        <v>3</v>
      </c>
      <c r="B5" s="11">
        <v>3</v>
      </c>
      <c r="C5" s="52">
        <v>9</v>
      </c>
    </row>
    <row r="6" spans="1:3" x14ac:dyDescent="0.3">
      <c r="A6" s="17">
        <v>4</v>
      </c>
      <c r="B6" s="11">
        <v>4</v>
      </c>
      <c r="C6" s="52">
        <v>12</v>
      </c>
    </row>
    <row r="7" spans="1:3" x14ac:dyDescent="0.3">
      <c r="A7" s="17">
        <v>5</v>
      </c>
      <c r="B7" s="11">
        <v>5</v>
      </c>
      <c r="C7" s="52">
        <v>12</v>
      </c>
    </row>
    <row r="8" spans="1:3" x14ac:dyDescent="0.3">
      <c r="A8" s="17">
        <v>6</v>
      </c>
      <c r="B8" s="11">
        <v>6</v>
      </c>
      <c r="C8" s="52">
        <v>12</v>
      </c>
    </row>
    <row r="9" spans="1:3" x14ac:dyDescent="0.3">
      <c r="A9" s="17">
        <v>7</v>
      </c>
      <c r="B9" s="11">
        <v>7</v>
      </c>
      <c r="C9" s="52">
        <v>12</v>
      </c>
    </row>
    <row r="10" spans="1:3" x14ac:dyDescent="0.3">
      <c r="A10" s="17">
        <v>8</v>
      </c>
      <c r="B10" s="11">
        <v>8</v>
      </c>
      <c r="C10" s="52">
        <v>11</v>
      </c>
    </row>
    <row r="11" spans="1:3" x14ac:dyDescent="0.3">
      <c r="A11" s="17">
        <v>9</v>
      </c>
      <c r="B11" s="11">
        <v>9</v>
      </c>
      <c r="C11" s="52">
        <v>9</v>
      </c>
    </row>
    <row r="12" spans="1:3" x14ac:dyDescent="0.3">
      <c r="A12" s="17">
        <v>10</v>
      </c>
      <c r="B12" s="11">
        <v>10</v>
      </c>
      <c r="C12" s="52">
        <v>4</v>
      </c>
    </row>
    <row r="13" spans="1:3" x14ac:dyDescent="0.3">
      <c r="A13" s="17">
        <v>11</v>
      </c>
      <c r="B13" s="11">
        <v>11</v>
      </c>
      <c r="C13" s="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  <vt:lpstr>FleetByYear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2026-09-07T05:20:29Z</dcterms:modified>
</cp:coreProperties>
</file>