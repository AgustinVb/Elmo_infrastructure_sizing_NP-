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gustin\Desktop\Elmo_infrastructure_NP\data\DCH\640kW_2dias_1MB\"/>
    </mc:Choice>
  </mc:AlternateContent>
  <xr:revisionPtr revIDLastSave="0" documentId="13_ncr:1_{8A6748E0-292A-40B3-8000-D87CCD2DDFF2}" xr6:coauthVersionLast="47" xr6:coauthVersionMax="47" xr10:uidLastSave="{00000000-0000-0000-0000-000000000000}"/>
  <bookViews>
    <workbookView xWindow="-108" yWindow="-108" windowWidth="23256" windowHeight="12456" firstSheet="1" activeTab="7" xr2:uid="{00000000-000D-0000-FFFF-FFFF00000000}"/>
  </bookViews>
  <sheets>
    <sheet name="LHD" sheetId="1" r:id="rId1"/>
    <sheet name="stations" sheetId="2" r:id="rId2"/>
    <sheet name="chargers" sheetId="3" r:id="rId3"/>
    <sheet name="extraction_nodes" sheetId="4" r:id="rId4"/>
    <sheet name="discharge_nodes" sheetId="5" r:id="rId5"/>
    <sheet name="Generators" sheetId="6" r:id="rId6"/>
    <sheet name="Storage" sheetId="7" r:id="rId7"/>
    <sheet name="BatteryDegradation" sheetId="8" r:id="rId8"/>
    <sheet name="FleetByYear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7" l="1"/>
  <c r="C3" i="7"/>
  <c r="AE6" i="1"/>
</calcChain>
</file>

<file path=xl/sharedStrings.xml><?xml version="1.0" encoding="utf-8"?>
<sst xmlns="http://schemas.openxmlformats.org/spreadsheetml/2006/main" count="273" uniqueCount="193">
  <si>
    <t>id</t>
  </si>
  <si>
    <t>gamma_coef</t>
  </si>
  <si>
    <t>c_bat_replace</t>
  </si>
  <si>
    <t>min_capacity_fraction</t>
  </si>
  <si>
    <t>discount_rate</t>
  </si>
  <si>
    <t>int</t>
  </si>
  <si>
    <t>USD</t>
  </si>
  <si>
    <t>%</t>
  </si>
  <si>
    <t>name</t>
  </si>
  <si>
    <t>energy_cost</t>
  </si>
  <si>
    <t>technology_type</t>
  </si>
  <si>
    <t>operation_mode</t>
  </si>
  <si>
    <t>model</t>
  </si>
  <si>
    <t>load_capacity</t>
  </si>
  <si>
    <t>filling_factor</t>
  </si>
  <si>
    <t>loading_time</t>
  </si>
  <si>
    <t>discharging_time</t>
  </si>
  <si>
    <t>weight</t>
  </si>
  <si>
    <t>engine_power</t>
  </si>
  <si>
    <t>frontal_area</t>
  </si>
  <si>
    <t>tank_capacity</t>
  </si>
  <si>
    <t>min_capacity</t>
  </si>
  <si>
    <t>fuel_consumption</t>
  </si>
  <si>
    <t>refueling_time</t>
  </si>
  <si>
    <t>engine_efficiency</t>
  </si>
  <si>
    <t>transmission_efficiency</t>
  </si>
  <si>
    <t>speed</t>
  </si>
  <si>
    <t>acceleration</t>
  </si>
  <si>
    <t>hydraulic_power</t>
  </si>
  <si>
    <t>aux_power</t>
  </si>
  <si>
    <t>charge_power</t>
  </si>
  <si>
    <t>total_chargers</t>
  </si>
  <si>
    <t>battery_capacity</t>
  </si>
  <si>
    <t>min_soc</t>
  </si>
  <si>
    <t>charge_efficiency</t>
  </si>
  <si>
    <t>discharge_efficiency</t>
  </si>
  <si>
    <t>swap_time</t>
  </si>
  <si>
    <t>charge_time</t>
  </si>
  <si>
    <t>integer</t>
  </si>
  <si>
    <t>string</t>
  </si>
  <si>
    <t>ton</t>
  </si>
  <si>
    <t>p.u.</t>
  </si>
  <si>
    <t>sec</t>
  </si>
  <si>
    <t>kW</t>
  </si>
  <si>
    <t>m2</t>
  </si>
  <si>
    <t>L</t>
  </si>
  <si>
    <t>float</t>
  </si>
  <si>
    <t>g/kWh</t>
  </si>
  <si>
    <t>min</t>
  </si>
  <si>
    <t>km/h</t>
  </si>
  <si>
    <t>m/s^2</t>
  </si>
  <si>
    <t>kWh</t>
  </si>
  <si>
    <t>h</t>
  </si>
  <si>
    <t>LH518B_1</t>
  </si>
  <si>
    <t>Profile_fixed</t>
  </si>
  <si>
    <t>electric</t>
  </si>
  <si>
    <t>Efficient</t>
  </si>
  <si>
    <t>LH518B</t>
  </si>
  <si>
    <t>LH518B_2</t>
  </si>
  <si>
    <t>LH518B_3</t>
  </si>
  <si>
    <t>LH518B_4</t>
  </si>
  <si>
    <t>station_name</t>
  </si>
  <si>
    <t>c_fixed</t>
  </si>
  <si>
    <t>c_bays</t>
  </si>
  <si>
    <t>c_charger_space</t>
  </si>
  <si>
    <t>c_inv_ssee</t>
  </si>
  <si>
    <t>max_bays</t>
  </si>
  <si>
    <t>max_chargers_per_bay</t>
  </si>
  <si>
    <t>p_max_ssee</t>
  </si>
  <si>
    <t>USD/kW</t>
  </si>
  <si>
    <t>station_1</t>
  </si>
  <si>
    <t>charger_model</t>
  </si>
  <si>
    <t>charger_cost</t>
  </si>
  <si>
    <t>charger_power</t>
  </si>
  <si>
    <t>num_connectors</t>
  </si>
  <si>
    <t>p_peak_dist</t>
  </si>
  <si>
    <t>Sandvik</t>
  </si>
  <si>
    <t>node_name</t>
  </si>
  <si>
    <t>C0610</t>
  </si>
  <si>
    <t>C0611</t>
  </si>
  <si>
    <t>C0612</t>
  </si>
  <si>
    <t>C0613</t>
  </si>
  <si>
    <t>C0614</t>
  </si>
  <si>
    <t>C0615</t>
  </si>
  <si>
    <t>C0616</t>
  </si>
  <si>
    <t>C0617</t>
  </si>
  <si>
    <t>C0618</t>
  </si>
  <si>
    <t>C0619</t>
  </si>
  <si>
    <t>C0620</t>
  </si>
  <si>
    <t>C0582</t>
  </si>
  <si>
    <t>C0583</t>
  </si>
  <si>
    <t>C0584</t>
  </si>
  <si>
    <t>C0585</t>
  </si>
  <si>
    <t>C0586</t>
  </si>
  <si>
    <t>C0587</t>
  </si>
  <si>
    <t>C0588</t>
  </si>
  <si>
    <t>C0589</t>
  </si>
  <si>
    <t>C0590</t>
  </si>
  <si>
    <t>C0591</t>
  </si>
  <si>
    <t>C0592</t>
  </si>
  <si>
    <t>C0593</t>
  </si>
  <si>
    <t>C0554</t>
  </si>
  <si>
    <t>C0555</t>
  </si>
  <si>
    <t>C0556</t>
  </si>
  <si>
    <t>C0557</t>
  </si>
  <si>
    <t>C0558</t>
  </si>
  <si>
    <t>C0559</t>
  </si>
  <si>
    <t>C0560</t>
  </si>
  <si>
    <t>C0561</t>
  </si>
  <si>
    <t>C0562</t>
  </si>
  <si>
    <t>C0563</t>
  </si>
  <si>
    <t>C0564</t>
  </si>
  <si>
    <t>C0565</t>
  </si>
  <si>
    <t>C0527</t>
  </si>
  <si>
    <t>C0528</t>
  </si>
  <si>
    <t>C0529</t>
  </si>
  <si>
    <t>C0530</t>
  </si>
  <si>
    <t>C0531</t>
  </si>
  <si>
    <t>C0532</t>
  </si>
  <si>
    <t>C0533</t>
  </si>
  <si>
    <t>C0534</t>
  </si>
  <si>
    <t>C0535</t>
  </si>
  <si>
    <t>C0536</t>
  </si>
  <si>
    <t>C0537</t>
  </si>
  <si>
    <t>C0538</t>
  </si>
  <si>
    <t>C0499</t>
  </si>
  <si>
    <t>C0500</t>
  </si>
  <si>
    <t>C0501</t>
  </si>
  <si>
    <t>C0502</t>
  </si>
  <si>
    <t>C0503</t>
  </si>
  <si>
    <t>C0504</t>
  </si>
  <si>
    <t>C0505</t>
  </si>
  <si>
    <t>C0506</t>
  </si>
  <si>
    <t>C0507</t>
  </si>
  <si>
    <t>C0508</t>
  </si>
  <si>
    <t>C0509</t>
  </si>
  <si>
    <t>C0510</t>
  </si>
  <si>
    <t>C0472</t>
  </si>
  <si>
    <t>C0473</t>
  </si>
  <si>
    <t>C0474</t>
  </si>
  <si>
    <t>C0475</t>
  </si>
  <si>
    <t>C0476</t>
  </si>
  <si>
    <t>C0477</t>
  </si>
  <si>
    <t>C0478</t>
  </si>
  <si>
    <t>C0479</t>
  </si>
  <si>
    <t>C0480</t>
  </si>
  <si>
    <t>C0481</t>
  </si>
  <si>
    <t>C0482</t>
  </si>
  <si>
    <t>C0483</t>
  </si>
  <si>
    <t>C0440</t>
  </si>
  <si>
    <t>C0441</t>
  </si>
  <si>
    <t>C0442</t>
  </si>
  <si>
    <t>C0443</t>
  </si>
  <si>
    <t>C0444</t>
  </si>
  <si>
    <t>C0445</t>
  </si>
  <si>
    <t>C0446</t>
  </si>
  <si>
    <t>C0447</t>
  </si>
  <si>
    <t>C0448</t>
  </si>
  <si>
    <t>C0449</t>
  </si>
  <si>
    <t>C0450</t>
  </si>
  <si>
    <t>C0451</t>
  </si>
  <si>
    <t>C0409</t>
  </si>
  <si>
    <t>C0410</t>
  </si>
  <si>
    <t>C0411</t>
  </si>
  <si>
    <t>C0412</t>
  </si>
  <si>
    <t>C0413</t>
  </si>
  <si>
    <t>C0414</t>
  </si>
  <si>
    <t>C0415</t>
  </si>
  <si>
    <t>C0416</t>
  </si>
  <si>
    <t>C0417</t>
  </si>
  <si>
    <t>C0418</t>
  </si>
  <si>
    <t>C0419</t>
  </si>
  <si>
    <t>street</t>
  </si>
  <si>
    <t>d_node_0</t>
  </si>
  <si>
    <t>street_1</t>
  </si>
  <si>
    <t>type</t>
  </si>
  <si>
    <t>c_inv</t>
  </si>
  <si>
    <t>c_op</t>
  </si>
  <si>
    <t>p_max</t>
  </si>
  <si>
    <t>g_max</t>
  </si>
  <si>
    <t>USD/anno/kW</t>
  </si>
  <si>
    <t>Solar_PV</t>
  </si>
  <si>
    <t>solar</t>
  </si>
  <si>
    <t>Wind</t>
  </si>
  <si>
    <t>wind</t>
  </si>
  <si>
    <t>eta</t>
  </si>
  <si>
    <t>a_min</t>
  </si>
  <si>
    <t>a_max</t>
  </si>
  <si>
    <t>h_max</t>
  </si>
  <si>
    <t>USD/año/kW</t>
  </si>
  <si>
    <t>Bess</t>
  </si>
  <si>
    <t>year</t>
  </si>
  <si>
    <t>n_active_lhd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</si>
</sst>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2"/>
      <color rgb="FF000000"/>
      <name val="Aptos Narrow"/>
      <family val="2"/>
    </font>
    <font>
      <sz val="11"/>
      <color theme="1"/>
      <name val="Calibri"/>
      <family val="2"/>
    </font>
    <font>
      <b/>
      <sz val="11"/>
      <color rgb="FF000000"/>
      <name val="Aptos Narrow"/>
      <family val="2"/>
    </font>
    <font>
      <sz val="11"/>
      <color theme="1"/>
      <name val="Calibri"/>
      <family val="2"/>
      <scheme val="minor"/>
    </font>
    <font>
      <b/>
      <sz val="11"/>
      <name val="Calibri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6C6C6"/>
      </bottom>
      <diagonal/>
    </border>
    <border>
      <left style="thin">
        <color rgb="FF000000"/>
      </left>
      <right/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C6C6C6"/>
      </bottom>
      <diagonal/>
    </border>
  </borders>
  <cellStyleXfs count="2">
    <xf numFmtId="0" fontId="0" fillId="0" borderId="0"/>
    <xf numFmtId="0" fontId="4" fillId="0" borderId="0"/>
  </cellStyleXfs>
  <cellXfs count="51">
    <xf numFmtId="0" fontId="0" fillId="0" borderId="0" xfId="0"/>
    <xf numFmtId="3" fontId="1" fillId="2" borderId="1" xfId="0" applyNumberFormat="1" applyFont="1" applyFill="1" applyBorder="1" applyAlignment="1">
      <alignment horizontal="center"/>
    </xf>
    <xf numFmtId="3" fontId="2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horizontal="left"/>
    </xf>
    <xf numFmtId="3" fontId="0" fillId="0" borderId="0" xfId="0" applyNumberFormat="1" applyAlignment="1">
      <alignment horizontal="right"/>
    </xf>
    <xf numFmtId="3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3" fontId="3" fillId="2" borderId="1" xfId="0" applyNumberFormat="1" applyFont="1" applyFill="1" applyBorder="1" applyAlignment="1">
      <alignment horizontal="left"/>
    </xf>
    <xf numFmtId="3" fontId="0" fillId="0" borderId="0" xfId="0" applyNumberFormat="1"/>
    <xf numFmtId="4" fontId="0" fillId="0" borderId="0" xfId="0" applyNumberFormat="1"/>
    <xf numFmtId="3" fontId="3" fillId="2" borderId="4" xfId="0" applyNumberFormat="1" applyFont="1" applyFill="1" applyBorder="1" applyAlignment="1">
      <alignment horizontal="left"/>
    </xf>
    <xf numFmtId="0" fontId="0" fillId="0" borderId="2" xfId="0" applyBorder="1"/>
    <xf numFmtId="3" fontId="1" fillId="2" borderId="4" xfId="0" applyNumberFormat="1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2" fontId="0" fillId="0" borderId="0" xfId="0" applyNumberFormat="1" applyAlignment="1">
      <alignment horizontal="center"/>
    </xf>
    <xf numFmtId="3" fontId="1" fillId="2" borderId="3" xfId="0" applyNumberFormat="1" applyFont="1" applyFill="1" applyBorder="1" applyAlignment="1">
      <alignment horizontal="center"/>
    </xf>
    <xf numFmtId="3" fontId="1" fillId="2" borderId="2" xfId="0" applyNumberFormat="1" applyFont="1" applyFill="1" applyBorder="1" applyAlignment="1">
      <alignment horizontal="center"/>
    </xf>
    <xf numFmtId="3" fontId="2" fillId="0" borderId="3" xfId="0" applyNumberFormat="1" applyFont="1" applyBorder="1" applyAlignment="1">
      <alignment horizontal="right"/>
    </xf>
    <xf numFmtId="0" fontId="2" fillId="0" borderId="5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3" fontId="2" fillId="0" borderId="2" xfId="0" applyNumberFormat="1" applyFont="1" applyBorder="1" applyAlignment="1">
      <alignment horizontal="right"/>
    </xf>
    <xf numFmtId="0" fontId="5" fillId="0" borderId="2" xfId="0" applyFont="1" applyBorder="1" applyAlignment="1">
      <alignment horizontal="center" vertical="top"/>
    </xf>
    <xf numFmtId="3" fontId="3" fillId="2" borderId="9" xfId="0" applyNumberFormat="1" applyFont="1" applyFill="1" applyBorder="1" applyAlignment="1">
      <alignment horizontal="left"/>
    </xf>
    <xf numFmtId="3" fontId="3" fillId="2" borderId="2" xfId="0" applyNumberFormat="1" applyFont="1" applyFill="1" applyBorder="1" applyAlignment="1">
      <alignment horizontal="left"/>
    </xf>
    <xf numFmtId="3" fontId="3" fillId="2" borderId="7" xfId="0" applyNumberFormat="1" applyFont="1" applyFill="1" applyBorder="1" applyAlignment="1">
      <alignment horizontal="left"/>
    </xf>
    <xf numFmtId="0" fontId="0" fillId="0" borderId="6" xfId="0" applyBorder="1"/>
    <xf numFmtId="0" fontId="0" fillId="0" borderId="8" xfId="0" applyBorder="1"/>
    <xf numFmtId="0" fontId="0" fillId="0" borderId="1" xfId="0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3" fontId="6" fillId="0" borderId="1" xfId="0" applyNumberFormat="1" applyFont="1" applyBorder="1" applyAlignment="1">
      <alignment horizontal="center"/>
    </xf>
    <xf numFmtId="4" fontId="6" fillId="0" borderId="1" xfId="0" applyNumberFormat="1" applyFont="1" applyBorder="1" applyAlignment="1">
      <alignment horizontal="center"/>
    </xf>
    <xf numFmtId="4" fontId="6" fillId="3" borderId="1" xfId="0" applyNumberFormat="1" applyFont="1" applyFill="1" applyBorder="1" applyAlignment="1">
      <alignment horizontal="center"/>
    </xf>
    <xf numFmtId="4" fontId="2" fillId="0" borderId="3" xfId="0" applyNumberFormat="1" applyFont="1" applyBorder="1" applyAlignment="1">
      <alignment horizontal="center"/>
    </xf>
    <xf numFmtId="4" fontId="6" fillId="0" borderId="2" xfId="0" applyNumberFormat="1" applyFont="1" applyBorder="1" applyAlignment="1">
      <alignment horizontal="center"/>
    </xf>
    <xf numFmtId="3" fontId="2" fillId="0" borderId="2" xfId="0" applyNumberFormat="1" applyFont="1" applyBorder="1" applyAlignment="1">
      <alignment horizontal="left"/>
    </xf>
    <xf numFmtId="0" fontId="3" fillId="2" borderId="1" xfId="0" applyFont="1" applyFill="1" applyBorder="1" applyAlignment="1">
      <alignment horizontal="center"/>
    </xf>
    <xf numFmtId="3" fontId="3" fillId="2" borderId="1" xfId="0" applyNumberFormat="1" applyFont="1" applyFill="1" applyBorder="1" applyAlignment="1">
      <alignment horizontal="center"/>
    </xf>
    <xf numFmtId="4" fontId="3" fillId="2" borderId="1" xfId="0" applyNumberFormat="1" applyFont="1" applyFill="1" applyBorder="1" applyAlignment="1">
      <alignment horizontal="center"/>
    </xf>
    <xf numFmtId="4" fontId="3" fillId="2" borderId="3" xfId="0" applyNumberFormat="1" applyFont="1" applyFill="1" applyBorder="1" applyAlignment="1">
      <alignment horizontal="center"/>
    </xf>
    <xf numFmtId="4" fontId="3" fillId="2" borderId="10" xfId="0" applyNumberFormat="1" applyFont="1" applyFill="1" applyBorder="1" applyAlignment="1">
      <alignment horizontal="center"/>
    </xf>
    <xf numFmtId="4" fontId="3" fillId="2" borderId="2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11" xfId="0" applyFont="1" applyFill="1" applyBorder="1" applyAlignment="1">
      <alignment horizontal="center"/>
    </xf>
    <xf numFmtId="3" fontId="3" fillId="2" borderId="11" xfId="0" applyNumberFormat="1" applyFont="1" applyFill="1" applyBorder="1" applyAlignment="1">
      <alignment horizontal="center"/>
    </xf>
    <xf numFmtId="4" fontId="3" fillId="2" borderId="11" xfId="0" applyNumberFormat="1" applyFont="1" applyFill="1" applyBorder="1" applyAlignment="1">
      <alignment horizontal="center"/>
    </xf>
    <xf numFmtId="4" fontId="3" fillId="2" borderId="12" xfId="0" applyNumberFormat="1" applyFont="1" applyFill="1" applyBorder="1" applyAlignment="1">
      <alignment horizontal="center"/>
    </xf>
    <xf numFmtId="4" fontId="3" fillId="2" borderId="13" xfId="0" applyNumberFormat="1" applyFont="1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2" fillId="0" borderId="5" xfId="0" applyFont="1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E6"/>
  <sheetViews>
    <sheetView zoomScaleNormal="100" workbookViewId="0">
      <selection activeCell="C17" sqref="C17"/>
    </sheetView>
  </sheetViews>
  <sheetFormatPr baseColWidth="10" defaultColWidth="9.109375" defaultRowHeight="14.4" x14ac:dyDescent="0.3"/>
  <cols>
    <col min="1" max="1" width="7.44140625" style="8" bestFit="1" customWidth="1"/>
    <col min="2" max="2" width="12.5546875" bestFit="1" customWidth="1"/>
    <col min="3" max="3" width="23.88671875" style="6" bestFit="1" customWidth="1"/>
    <col min="4" max="4" width="15.88671875" bestFit="1" customWidth="1"/>
    <col min="5" max="5" width="15.6640625" bestFit="1" customWidth="1"/>
    <col min="6" max="6" width="7.5546875" bestFit="1" customWidth="1"/>
    <col min="7" max="7" width="13.109375" style="8" bestFit="1" customWidth="1"/>
    <col min="8" max="8" width="12.33203125" style="8" bestFit="1" customWidth="1"/>
    <col min="9" max="9" width="12.5546875" style="8" bestFit="1" customWidth="1"/>
    <col min="10" max="10" width="16.44140625" style="8" bestFit="1" customWidth="1"/>
    <col min="11" max="11" width="7" style="8" bestFit="1" customWidth="1"/>
    <col min="12" max="12" width="13.5546875" style="8" bestFit="1" customWidth="1"/>
    <col min="13" max="13" width="11.6640625" style="9" bestFit="1" customWidth="1"/>
    <col min="14" max="14" width="13.109375" style="8" bestFit="1" customWidth="1"/>
    <col min="15" max="15" width="15" style="8" customWidth="1"/>
    <col min="16" max="16" width="17.109375" style="8" bestFit="1" customWidth="1"/>
    <col min="17" max="17" width="9.5546875" style="9" bestFit="1" customWidth="1"/>
    <col min="18" max="18" width="18" style="9" bestFit="1" customWidth="1"/>
    <col min="19" max="19" width="20.88671875" style="9" bestFit="1" customWidth="1"/>
    <col min="20" max="23" width="20.88671875" style="9" customWidth="1"/>
    <col min="24" max="24" width="18.44140625" style="9" bestFit="1" customWidth="1"/>
    <col min="25" max="25" width="20.109375" style="9" bestFit="1" customWidth="1"/>
    <col min="26" max="26" width="13.5546875" style="9" bestFit="1" customWidth="1"/>
    <col min="27" max="27" width="11.33203125" style="9" bestFit="1" customWidth="1"/>
    <col min="28" max="28" width="19.33203125" bestFit="1" customWidth="1"/>
  </cols>
  <sheetData>
    <row r="1" spans="1:31" x14ac:dyDescent="0.3">
      <c r="A1" s="7" t="s">
        <v>0</v>
      </c>
      <c r="B1" s="37" t="s">
        <v>8</v>
      </c>
      <c r="C1" s="37" t="s">
        <v>9</v>
      </c>
      <c r="D1" s="37" t="s">
        <v>10</v>
      </c>
      <c r="E1" s="37" t="s">
        <v>11</v>
      </c>
      <c r="F1" s="37" t="s">
        <v>12</v>
      </c>
      <c r="G1" s="38" t="s">
        <v>13</v>
      </c>
      <c r="H1" s="38" t="s">
        <v>14</v>
      </c>
      <c r="I1" s="38" t="s">
        <v>15</v>
      </c>
      <c r="J1" s="38" t="s">
        <v>16</v>
      </c>
      <c r="K1" s="38" t="s">
        <v>17</v>
      </c>
      <c r="L1" s="38" t="s">
        <v>18</v>
      </c>
      <c r="M1" s="39" t="s">
        <v>19</v>
      </c>
      <c r="N1" s="40" t="s">
        <v>20</v>
      </c>
      <c r="O1" s="40" t="s">
        <v>21</v>
      </c>
      <c r="P1" s="40" t="s">
        <v>22</v>
      </c>
      <c r="Q1" s="40" t="s">
        <v>23</v>
      </c>
      <c r="R1" s="41" t="s">
        <v>24</v>
      </c>
      <c r="S1" s="40" t="s">
        <v>25</v>
      </c>
      <c r="T1" s="42" t="s">
        <v>26</v>
      </c>
      <c r="U1" s="42" t="s">
        <v>27</v>
      </c>
      <c r="V1" s="42" t="s">
        <v>28</v>
      </c>
      <c r="W1" s="42" t="s">
        <v>29</v>
      </c>
      <c r="X1" s="42" t="s">
        <v>30</v>
      </c>
      <c r="Y1" s="42" t="s">
        <v>31</v>
      </c>
      <c r="Z1" s="42" t="s">
        <v>32</v>
      </c>
      <c r="AA1" s="42" t="s">
        <v>33</v>
      </c>
      <c r="AB1" s="42" t="s">
        <v>34</v>
      </c>
      <c r="AC1" s="42" t="s">
        <v>35</v>
      </c>
      <c r="AD1" s="42" t="s">
        <v>36</v>
      </c>
      <c r="AE1" s="42" t="s">
        <v>37</v>
      </c>
    </row>
    <row r="2" spans="1:31" x14ac:dyDescent="0.3">
      <c r="A2" s="10" t="s">
        <v>38</v>
      </c>
      <c r="B2" s="43" t="s">
        <v>39</v>
      </c>
      <c r="C2" s="43" t="s">
        <v>39</v>
      </c>
      <c r="D2" s="44" t="s">
        <v>39</v>
      </c>
      <c r="E2" s="44" t="s">
        <v>39</v>
      </c>
      <c r="F2" s="44" t="s">
        <v>39</v>
      </c>
      <c r="G2" s="45" t="s">
        <v>40</v>
      </c>
      <c r="H2" s="45" t="s">
        <v>41</v>
      </c>
      <c r="I2" s="45" t="s">
        <v>42</v>
      </c>
      <c r="J2" s="45" t="s">
        <v>42</v>
      </c>
      <c r="K2" s="45" t="s">
        <v>40</v>
      </c>
      <c r="L2" s="45" t="s">
        <v>43</v>
      </c>
      <c r="M2" s="46" t="s">
        <v>44</v>
      </c>
      <c r="N2" s="47" t="s">
        <v>45</v>
      </c>
      <c r="O2" s="47" t="s">
        <v>46</v>
      </c>
      <c r="P2" s="47" t="s">
        <v>47</v>
      </c>
      <c r="Q2" s="47" t="s">
        <v>48</v>
      </c>
      <c r="R2" s="48" t="s">
        <v>46</v>
      </c>
      <c r="S2" s="40" t="s">
        <v>46</v>
      </c>
      <c r="T2" s="42" t="s">
        <v>49</v>
      </c>
      <c r="U2" s="42" t="s">
        <v>50</v>
      </c>
      <c r="V2" s="42" t="s">
        <v>43</v>
      </c>
      <c r="W2" s="42" t="s">
        <v>43</v>
      </c>
      <c r="X2" s="42" t="s">
        <v>43</v>
      </c>
      <c r="Y2" s="42" t="s">
        <v>5</v>
      </c>
      <c r="Z2" s="42" t="s">
        <v>51</v>
      </c>
      <c r="AA2" s="42" t="s">
        <v>46</v>
      </c>
      <c r="AB2" s="42" t="s">
        <v>46</v>
      </c>
      <c r="AC2" s="42" t="s">
        <v>46</v>
      </c>
      <c r="AD2" s="42" t="s">
        <v>52</v>
      </c>
      <c r="AE2" s="42" t="s">
        <v>52</v>
      </c>
    </row>
    <row r="3" spans="1:31" x14ac:dyDescent="0.3">
      <c r="A3" s="36">
        <v>1</v>
      </c>
      <c r="B3" s="28" t="s">
        <v>53</v>
      </c>
      <c r="C3" s="6" t="s">
        <v>54</v>
      </c>
      <c r="D3" s="29" t="s">
        <v>55</v>
      </c>
      <c r="E3" s="30" t="s">
        <v>56</v>
      </c>
      <c r="F3" s="30" t="s">
        <v>57</v>
      </c>
      <c r="G3" s="31">
        <v>18</v>
      </c>
      <c r="H3" s="32">
        <v>0.84</v>
      </c>
      <c r="I3" s="31">
        <v>20</v>
      </c>
      <c r="J3" s="31">
        <v>20</v>
      </c>
      <c r="K3" s="31">
        <v>55</v>
      </c>
      <c r="L3" s="31">
        <v>540</v>
      </c>
      <c r="M3" s="32">
        <v>8.73</v>
      </c>
      <c r="N3" s="33">
        <v>-1</v>
      </c>
      <c r="O3" s="33">
        <v>-1</v>
      </c>
      <c r="P3" s="33">
        <v>-1</v>
      </c>
      <c r="Q3" s="33">
        <v>-1</v>
      </c>
      <c r="R3" s="32">
        <v>0.95</v>
      </c>
      <c r="S3" s="34">
        <v>0.92</v>
      </c>
      <c r="T3" s="35">
        <v>16.2</v>
      </c>
      <c r="U3" s="35">
        <v>0.47</v>
      </c>
      <c r="V3" s="11">
        <v>160</v>
      </c>
      <c r="W3" s="11">
        <v>4</v>
      </c>
      <c r="X3" s="11">
        <v>320</v>
      </c>
      <c r="Y3" s="11">
        <v>4</v>
      </c>
      <c r="Z3" s="11">
        <v>482</v>
      </c>
      <c r="AA3" s="11">
        <v>0.2</v>
      </c>
      <c r="AB3" s="11">
        <v>0.95</v>
      </c>
      <c r="AC3" s="11">
        <v>0.95</v>
      </c>
      <c r="AD3" s="11">
        <v>8.3000000000000004E-2</v>
      </c>
      <c r="AE3" s="11">
        <v>1</v>
      </c>
    </row>
    <row r="4" spans="1:31" x14ac:dyDescent="0.3">
      <c r="A4" s="36">
        <v>2</v>
      </c>
      <c r="B4" s="28" t="s">
        <v>58</v>
      </c>
      <c r="C4" s="6" t="s">
        <v>54</v>
      </c>
      <c r="D4" s="29" t="s">
        <v>55</v>
      </c>
      <c r="E4" s="30" t="s">
        <v>56</v>
      </c>
      <c r="F4" s="30" t="s">
        <v>57</v>
      </c>
      <c r="G4" s="31">
        <v>18</v>
      </c>
      <c r="H4" s="32">
        <v>0.84</v>
      </c>
      <c r="I4" s="31">
        <v>20</v>
      </c>
      <c r="J4" s="31">
        <v>20</v>
      </c>
      <c r="K4" s="31">
        <v>55</v>
      </c>
      <c r="L4" s="31">
        <v>540</v>
      </c>
      <c r="M4" s="32">
        <v>8.73</v>
      </c>
      <c r="N4" s="33">
        <v>-1</v>
      </c>
      <c r="O4" s="33">
        <v>-1</v>
      </c>
      <c r="P4" s="33">
        <v>-1</v>
      </c>
      <c r="Q4" s="33">
        <v>-1</v>
      </c>
      <c r="R4" s="32">
        <v>0.95</v>
      </c>
      <c r="S4" s="34">
        <v>0.92</v>
      </c>
      <c r="T4" s="35">
        <v>16.2</v>
      </c>
      <c r="U4" s="35">
        <v>0.47</v>
      </c>
      <c r="V4" s="11">
        <v>160</v>
      </c>
      <c r="W4" s="11">
        <v>4</v>
      </c>
      <c r="X4" s="11">
        <v>320</v>
      </c>
      <c r="Y4" s="11">
        <v>4</v>
      </c>
      <c r="Z4" s="11">
        <v>482</v>
      </c>
      <c r="AA4" s="11">
        <v>0.2</v>
      </c>
      <c r="AB4" s="11">
        <v>0.95</v>
      </c>
      <c r="AC4" s="11">
        <v>0.95</v>
      </c>
      <c r="AD4" s="11">
        <v>8.3000000000000004E-2</v>
      </c>
      <c r="AE4" s="11">
        <v>1</v>
      </c>
    </row>
    <row r="5" spans="1:31" x14ac:dyDescent="0.3">
      <c r="A5" s="36">
        <v>3</v>
      </c>
      <c r="B5" s="28" t="s">
        <v>59</v>
      </c>
      <c r="C5" s="6" t="s">
        <v>54</v>
      </c>
      <c r="D5" s="29" t="s">
        <v>55</v>
      </c>
      <c r="E5" s="30" t="s">
        <v>56</v>
      </c>
      <c r="F5" s="30" t="s">
        <v>57</v>
      </c>
      <c r="G5" s="31">
        <v>18</v>
      </c>
      <c r="H5" s="32">
        <v>0.84</v>
      </c>
      <c r="I5" s="31">
        <v>20</v>
      </c>
      <c r="J5" s="31">
        <v>20</v>
      </c>
      <c r="K5" s="31">
        <v>55</v>
      </c>
      <c r="L5" s="31">
        <v>540</v>
      </c>
      <c r="M5" s="32">
        <v>8.73</v>
      </c>
      <c r="N5" s="33">
        <v>-1</v>
      </c>
      <c r="O5" s="33">
        <v>-1</v>
      </c>
      <c r="P5" s="33">
        <v>-1</v>
      </c>
      <c r="Q5" s="33">
        <v>-1</v>
      </c>
      <c r="R5" s="32">
        <v>0.95</v>
      </c>
      <c r="S5" s="34">
        <v>0.92</v>
      </c>
      <c r="T5" s="35">
        <v>16.2</v>
      </c>
      <c r="U5" s="35">
        <v>0.47</v>
      </c>
      <c r="V5" s="11">
        <v>160</v>
      </c>
      <c r="W5" s="11">
        <v>4</v>
      </c>
      <c r="X5" s="11">
        <v>320</v>
      </c>
      <c r="Y5" s="11">
        <v>4</v>
      </c>
      <c r="Z5" s="11">
        <v>482</v>
      </c>
      <c r="AA5" s="11">
        <v>0.2</v>
      </c>
      <c r="AB5" s="11">
        <v>0.95</v>
      </c>
      <c r="AC5" s="11">
        <v>0.95</v>
      </c>
      <c r="AD5" s="11">
        <v>8.3000000000000004E-2</v>
      </c>
      <c r="AE5" s="11">
        <v>1</v>
      </c>
    </row>
    <row r="6" spans="1:31" x14ac:dyDescent="0.3">
      <c r="A6" s="36">
        <v>4</v>
      </c>
      <c r="B6" s="28" t="s">
        <v>60</v>
      </c>
      <c r="C6" s="6" t="s">
        <v>54</v>
      </c>
      <c r="D6" s="29" t="s">
        <v>55</v>
      </c>
      <c r="E6" s="30" t="s">
        <v>56</v>
      </c>
      <c r="F6" s="30" t="s">
        <v>57</v>
      </c>
      <c r="G6" s="31">
        <v>18</v>
      </c>
      <c r="H6" s="32">
        <v>0.84</v>
      </c>
      <c r="I6" s="31">
        <v>20</v>
      </c>
      <c r="J6" s="31">
        <v>20</v>
      </c>
      <c r="K6" s="31">
        <v>55</v>
      </c>
      <c r="L6" s="31">
        <v>540</v>
      </c>
      <c r="M6" s="32">
        <v>8.73</v>
      </c>
      <c r="N6" s="33">
        <v>-1</v>
      </c>
      <c r="O6" s="33">
        <v>-1</v>
      </c>
      <c r="P6" s="33">
        <v>-1</v>
      </c>
      <c r="Q6" s="33">
        <v>-1</v>
      </c>
      <c r="R6" s="32">
        <v>0.95</v>
      </c>
      <c r="S6" s="34">
        <v>0.92</v>
      </c>
      <c r="T6" s="35">
        <v>16.2</v>
      </c>
      <c r="U6" s="35">
        <v>0.47</v>
      </c>
      <c r="V6" s="11">
        <v>160</v>
      </c>
      <c r="W6" s="11">
        <v>4</v>
      </c>
      <c r="X6" s="11">
        <v>320</v>
      </c>
      <c r="Y6" s="11">
        <v>4</v>
      </c>
      <c r="Z6" s="11">
        <v>482</v>
      </c>
      <c r="AA6" s="11">
        <v>0.2</v>
      </c>
      <c r="AB6" s="11">
        <v>0.95</v>
      </c>
      <c r="AC6" s="11">
        <v>0.95</v>
      </c>
      <c r="AD6" s="11">
        <v>8.3000000000000004E-2</v>
      </c>
      <c r="AE6" s="11">
        <f t="shared" ref="AE6" si="0">AE3</f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"/>
  <sheetViews>
    <sheetView workbookViewId="0">
      <selection activeCell="A4" sqref="A4:XFD5"/>
    </sheetView>
  </sheetViews>
  <sheetFormatPr baseColWidth="10" defaultRowHeight="14.4" x14ac:dyDescent="0.3"/>
  <cols>
    <col min="2" max="2" width="13.109375" bestFit="1" customWidth="1"/>
    <col min="3" max="3" width="11.6640625" bestFit="1" customWidth="1"/>
    <col min="5" max="5" width="14.77734375" bestFit="1" customWidth="1"/>
  </cols>
  <sheetData>
    <row r="1" spans="1:9" x14ac:dyDescent="0.3">
      <c r="A1" s="7" t="s">
        <v>0</v>
      </c>
      <c r="B1" s="7" t="s">
        <v>61</v>
      </c>
      <c r="C1" s="7" t="s">
        <v>62</v>
      </c>
      <c r="D1" s="7" t="s">
        <v>63</v>
      </c>
      <c r="E1" s="10" t="s">
        <v>64</v>
      </c>
      <c r="F1" s="10" t="s">
        <v>65</v>
      </c>
      <c r="G1" s="7" t="s">
        <v>66</v>
      </c>
      <c r="H1" s="7" t="s">
        <v>67</v>
      </c>
      <c r="I1" s="7" t="s">
        <v>68</v>
      </c>
    </row>
    <row r="2" spans="1:9" x14ac:dyDescent="0.3">
      <c r="A2" s="10" t="s">
        <v>38</v>
      </c>
      <c r="B2" s="10" t="s">
        <v>39</v>
      </c>
      <c r="C2" s="10" t="s">
        <v>6</v>
      </c>
      <c r="D2" s="22" t="s">
        <v>6</v>
      </c>
      <c r="E2" s="23" t="s">
        <v>6</v>
      </c>
      <c r="F2" s="23" t="s">
        <v>69</v>
      </c>
      <c r="G2" s="24" t="s">
        <v>5</v>
      </c>
      <c r="H2" s="10" t="s">
        <v>43</v>
      </c>
      <c r="I2" s="10" t="s">
        <v>43</v>
      </c>
    </row>
    <row r="3" spans="1:9" x14ac:dyDescent="0.3">
      <c r="A3" s="11">
        <v>1</v>
      </c>
      <c r="B3" s="11" t="s">
        <v>70</v>
      </c>
      <c r="C3" s="11">
        <v>219495</v>
      </c>
      <c r="D3" s="25">
        <v>234851</v>
      </c>
      <c r="E3" s="11">
        <v>35228</v>
      </c>
      <c r="F3" s="11">
        <v>301.74599999999998</v>
      </c>
      <c r="G3" s="26">
        <v>2</v>
      </c>
      <c r="H3" s="11">
        <v>2</v>
      </c>
      <c r="I3" s="11">
        <v>1500</v>
      </c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"/>
  <sheetViews>
    <sheetView workbookViewId="0">
      <selection activeCell="D17" sqref="D17"/>
    </sheetView>
  </sheetViews>
  <sheetFormatPr baseColWidth="10" defaultRowHeight="14.4" x14ac:dyDescent="0.3"/>
  <cols>
    <col min="2" max="2" width="13.33203125" bestFit="1" customWidth="1"/>
    <col min="3" max="3" width="12.44140625" bestFit="1" customWidth="1"/>
    <col min="4" max="4" width="14.109375" bestFit="1" customWidth="1"/>
  </cols>
  <sheetData>
    <row r="1" spans="1:6" x14ac:dyDescent="0.3">
      <c r="A1" s="7" t="s">
        <v>0</v>
      </c>
      <c r="B1" s="7" t="s">
        <v>71</v>
      </c>
      <c r="C1" s="7" t="s">
        <v>72</v>
      </c>
      <c r="D1" s="7" t="s">
        <v>73</v>
      </c>
      <c r="E1" s="7" t="s">
        <v>74</v>
      </c>
      <c r="F1" s="7" t="s">
        <v>75</v>
      </c>
    </row>
    <row r="2" spans="1:6" x14ac:dyDescent="0.3">
      <c r="A2" s="10" t="s">
        <v>38</v>
      </c>
      <c r="B2" s="10" t="s">
        <v>39</v>
      </c>
      <c r="C2" s="10" t="s">
        <v>6</v>
      </c>
      <c r="D2" s="10" t="s">
        <v>43</v>
      </c>
      <c r="E2" s="10" t="s">
        <v>5</v>
      </c>
      <c r="F2" s="10" t="s">
        <v>43</v>
      </c>
    </row>
    <row r="3" spans="1:6" x14ac:dyDescent="0.3">
      <c r="A3" s="11">
        <v>1</v>
      </c>
      <c r="B3" s="11" t="s">
        <v>76</v>
      </c>
      <c r="C3" s="11">
        <v>640000</v>
      </c>
      <c r="D3" s="11">
        <v>640</v>
      </c>
      <c r="E3" s="11">
        <v>1</v>
      </c>
      <c r="F3" s="11">
        <v>5000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G318"/>
  <sheetViews>
    <sheetView topLeftCell="A78" zoomScale="70" zoomScaleNormal="70" workbookViewId="0">
      <selection activeCell="E103" sqref="E103"/>
    </sheetView>
  </sheetViews>
  <sheetFormatPr baseColWidth="10" defaultColWidth="9.109375" defaultRowHeight="14.4" x14ac:dyDescent="0.3"/>
  <cols>
    <col min="1" max="1" width="13.5546875" style="5" bestFit="1" customWidth="1"/>
    <col min="2" max="2" width="13.5546875" style="13" bestFit="1" customWidth="1"/>
    <col min="3" max="3" width="13.5546875" style="6" bestFit="1" customWidth="1"/>
    <col min="4" max="4" width="15.44140625" style="6" bestFit="1" customWidth="1"/>
    <col min="5" max="6" width="29.109375" style="14" bestFit="1" customWidth="1"/>
    <col min="7" max="7" width="13.5546875" style="5" bestFit="1" customWidth="1"/>
  </cols>
  <sheetData>
    <row r="1" spans="1:2" ht="18.75" customHeight="1" x14ac:dyDescent="0.3">
      <c r="A1" s="21" t="s">
        <v>0</v>
      </c>
      <c r="B1" s="21" t="s">
        <v>77</v>
      </c>
    </row>
    <row r="2" spans="1:2" ht="18.75" customHeight="1" x14ac:dyDescent="0.3">
      <c r="A2" t="s">
        <v>38</v>
      </c>
      <c r="B2" t="s">
        <v>39</v>
      </c>
    </row>
    <row r="3" spans="1:2" ht="18.75" customHeight="1" x14ac:dyDescent="0.3">
      <c r="A3">
        <v>1</v>
      </c>
      <c r="B3" s="49" t="s">
        <v>78</v>
      </c>
    </row>
    <row r="4" spans="1:2" ht="18.75" customHeight="1" x14ac:dyDescent="0.3">
      <c r="A4" s="27">
        <v>2</v>
      </c>
      <c r="B4" s="49" t="s">
        <v>79</v>
      </c>
    </row>
    <row r="5" spans="1:2" ht="18.75" customHeight="1" x14ac:dyDescent="0.3">
      <c r="A5" s="27">
        <v>3</v>
      </c>
      <c r="B5" s="49" t="s">
        <v>80</v>
      </c>
    </row>
    <row r="6" spans="1:2" ht="18.75" customHeight="1" x14ac:dyDescent="0.3">
      <c r="A6" s="27">
        <v>4</v>
      </c>
      <c r="B6" s="49" t="s">
        <v>81</v>
      </c>
    </row>
    <row r="7" spans="1:2" ht="18.75" customHeight="1" x14ac:dyDescent="0.3">
      <c r="A7" s="27">
        <v>5</v>
      </c>
      <c r="B7" s="49" t="s">
        <v>82</v>
      </c>
    </row>
    <row r="8" spans="1:2" ht="18.75" customHeight="1" x14ac:dyDescent="0.3">
      <c r="A8" s="27">
        <v>6</v>
      </c>
      <c r="B8" s="49" t="s">
        <v>83</v>
      </c>
    </row>
    <row r="9" spans="1:2" ht="18.75" customHeight="1" x14ac:dyDescent="0.3">
      <c r="A9" s="27">
        <v>7</v>
      </c>
      <c r="B9" s="49" t="s">
        <v>84</v>
      </c>
    </row>
    <row r="10" spans="1:2" ht="18.75" customHeight="1" x14ac:dyDescent="0.3">
      <c r="A10" s="27">
        <v>8</v>
      </c>
      <c r="B10" s="49" t="s">
        <v>85</v>
      </c>
    </row>
    <row r="11" spans="1:2" ht="18.75" customHeight="1" x14ac:dyDescent="0.3">
      <c r="A11" s="27">
        <v>9</v>
      </c>
      <c r="B11" s="49" t="s">
        <v>86</v>
      </c>
    </row>
    <row r="12" spans="1:2" ht="18.75" customHeight="1" x14ac:dyDescent="0.3">
      <c r="A12" s="27">
        <v>10</v>
      </c>
      <c r="B12" s="49" t="s">
        <v>87</v>
      </c>
    </row>
    <row r="13" spans="1:2" ht="18.75" customHeight="1" x14ac:dyDescent="0.3">
      <c r="A13" s="27">
        <v>11</v>
      </c>
      <c r="B13" s="49" t="s">
        <v>88</v>
      </c>
    </row>
    <row r="14" spans="1:2" ht="18.75" customHeight="1" x14ac:dyDescent="0.3">
      <c r="A14" s="27">
        <v>12</v>
      </c>
      <c r="B14" s="13" t="s">
        <v>89</v>
      </c>
    </row>
    <row r="15" spans="1:2" ht="18.75" customHeight="1" x14ac:dyDescent="0.3">
      <c r="A15" s="27">
        <v>13</v>
      </c>
      <c r="B15" s="13" t="s">
        <v>90</v>
      </c>
    </row>
    <row r="16" spans="1:2" ht="18.75" customHeight="1" x14ac:dyDescent="0.3">
      <c r="A16" s="27">
        <v>14</v>
      </c>
      <c r="B16" s="13" t="s">
        <v>91</v>
      </c>
    </row>
    <row r="17" spans="1:2" ht="18.75" customHeight="1" x14ac:dyDescent="0.3">
      <c r="A17" s="27">
        <v>15</v>
      </c>
      <c r="B17" s="13" t="s">
        <v>92</v>
      </c>
    </row>
    <row r="18" spans="1:2" ht="18.75" customHeight="1" x14ac:dyDescent="0.3">
      <c r="A18" s="27">
        <v>16</v>
      </c>
      <c r="B18" s="13" t="s">
        <v>93</v>
      </c>
    </row>
    <row r="19" spans="1:2" ht="18.75" customHeight="1" x14ac:dyDescent="0.3">
      <c r="A19" s="27">
        <v>17</v>
      </c>
      <c r="B19" s="13" t="s">
        <v>94</v>
      </c>
    </row>
    <row r="20" spans="1:2" ht="18.75" customHeight="1" x14ac:dyDescent="0.3">
      <c r="A20" s="27">
        <v>18</v>
      </c>
      <c r="B20" s="13" t="s">
        <v>95</v>
      </c>
    </row>
    <row r="21" spans="1:2" ht="18.75" customHeight="1" x14ac:dyDescent="0.3">
      <c r="A21" s="27">
        <v>19</v>
      </c>
      <c r="B21" s="13" t="s">
        <v>96</v>
      </c>
    </row>
    <row r="22" spans="1:2" ht="18.75" customHeight="1" x14ac:dyDescent="0.3">
      <c r="A22" s="27">
        <v>20</v>
      </c>
      <c r="B22" s="13" t="s">
        <v>97</v>
      </c>
    </row>
    <row r="23" spans="1:2" ht="18.75" customHeight="1" x14ac:dyDescent="0.3">
      <c r="A23" s="27">
        <v>21</v>
      </c>
      <c r="B23" s="13" t="s">
        <v>98</v>
      </c>
    </row>
    <row r="24" spans="1:2" ht="18.75" customHeight="1" x14ac:dyDescent="0.3">
      <c r="A24" s="27">
        <v>22</v>
      </c>
      <c r="B24" s="13" t="s">
        <v>99</v>
      </c>
    </row>
    <row r="25" spans="1:2" ht="18.75" customHeight="1" x14ac:dyDescent="0.3">
      <c r="A25" s="27">
        <v>23</v>
      </c>
      <c r="B25" s="13" t="s">
        <v>100</v>
      </c>
    </row>
    <row r="26" spans="1:2" ht="18.75" customHeight="1" x14ac:dyDescent="0.3">
      <c r="A26" s="27">
        <v>24</v>
      </c>
      <c r="B26" s="49" t="s">
        <v>101</v>
      </c>
    </row>
    <row r="27" spans="1:2" ht="18.75" customHeight="1" x14ac:dyDescent="0.3">
      <c r="A27" s="27">
        <v>25</v>
      </c>
      <c r="B27" s="49" t="s">
        <v>102</v>
      </c>
    </row>
    <row r="28" spans="1:2" ht="18.75" customHeight="1" x14ac:dyDescent="0.3">
      <c r="A28" s="27">
        <v>26</v>
      </c>
      <c r="B28" s="49" t="s">
        <v>103</v>
      </c>
    </row>
    <row r="29" spans="1:2" ht="18.75" customHeight="1" x14ac:dyDescent="0.3">
      <c r="A29" s="27">
        <v>27</v>
      </c>
      <c r="B29" s="49" t="s">
        <v>104</v>
      </c>
    </row>
    <row r="30" spans="1:2" ht="18.75" customHeight="1" x14ac:dyDescent="0.3">
      <c r="A30" s="27">
        <v>28</v>
      </c>
      <c r="B30" s="49" t="s">
        <v>105</v>
      </c>
    </row>
    <row r="31" spans="1:2" ht="18.75" customHeight="1" x14ac:dyDescent="0.3">
      <c r="A31" s="27">
        <v>29</v>
      </c>
      <c r="B31" s="49" t="s">
        <v>106</v>
      </c>
    </row>
    <row r="32" spans="1:2" ht="18.75" customHeight="1" x14ac:dyDescent="0.3">
      <c r="A32" s="27">
        <v>30</v>
      </c>
      <c r="B32" s="49" t="s">
        <v>107</v>
      </c>
    </row>
    <row r="33" spans="1:2" ht="18.75" customHeight="1" x14ac:dyDescent="0.3">
      <c r="A33" s="27">
        <v>31</v>
      </c>
      <c r="B33" s="49" t="s">
        <v>108</v>
      </c>
    </row>
    <row r="34" spans="1:2" ht="18.75" customHeight="1" x14ac:dyDescent="0.3">
      <c r="A34" s="27">
        <v>32</v>
      </c>
      <c r="B34" s="49" t="s">
        <v>109</v>
      </c>
    </row>
    <row r="35" spans="1:2" ht="18.75" customHeight="1" x14ac:dyDescent="0.3">
      <c r="A35" s="27">
        <v>33</v>
      </c>
      <c r="B35" s="49" t="s">
        <v>110</v>
      </c>
    </row>
    <row r="36" spans="1:2" ht="18.75" customHeight="1" x14ac:dyDescent="0.3">
      <c r="A36" s="27">
        <v>34</v>
      </c>
      <c r="B36" s="49" t="s">
        <v>111</v>
      </c>
    </row>
    <row r="37" spans="1:2" ht="18.75" customHeight="1" x14ac:dyDescent="0.3">
      <c r="A37" s="27">
        <v>35</v>
      </c>
      <c r="B37" s="49" t="s">
        <v>112</v>
      </c>
    </row>
    <row r="38" spans="1:2" ht="18.75" customHeight="1" x14ac:dyDescent="0.3">
      <c r="A38" s="27">
        <v>36</v>
      </c>
      <c r="B38" s="49" t="s">
        <v>113</v>
      </c>
    </row>
    <row r="39" spans="1:2" ht="18.75" customHeight="1" x14ac:dyDescent="0.3">
      <c r="A39" s="27">
        <v>37</v>
      </c>
      <c r="B39" s="49" t="s">
        <v>114</v>
      </c>
    </row>
    <row r="40" spans="1:2" ht="18.75" customHeight="1" x14ac:dyDescent="0.3">
      <c r="A40" s="27">
        <v>38</v>
      </c>
      <c r="B40" s="49" t="s">
        <v>115</v>
      </c>
    </row>
    <row r="41" spans="1:2" ht="18.75" customHeight="1" x14ac:dyDescent="0.3">
      <c r="A41" s="27">
        <v>39</v>
      </c>
      <c r="B41" s="49" t="s">
        <v>116</v>
      </c>
    </row>
    <row r="42" spans="1:2" ht="18.75" customHeight="1" x14ac:dyDescent="0.3">
      <c r="A42" s="27">
        <v>40</v>
      </c>
      <c r="B42" s="49" t="s">
        <v>117</v>
      </c>
    </row>
    <row r="43" spans="1:2" x14ac:dyDescent="0.3">
      <c r="A43" s="27">
        <v>41</v>
      </c>
      <c r="B43" s="49" t="s">
        <v>118</v>
      </c>
    </row>
    <row r="44" spans="1:2" x14ac:dyDescent="0.3">
      <c r="A44" s="27">
        <v>42</v>
      </c>
      <c r="B44" s="49" t="s">
        <v>119</v>
      </c>
    </row>
    <row r="45" spans="1:2" x14ac:dyDescent="0.3">
      <c r="A45" s="27">
        <v>43</v>
      </c>
      <c r="B45" s="49" t="s">
        <v>120</v>
      </c>
    </row>
    <row r="46" spans="1:2" x14ac:dyDescent="0.3">
      <c r="A46" s="27">
        <v>44</v>
      </c>
      <c r="B46" s="49" t="s">
        <v>121</v>
      </c>
    </row>
    <row r="47" spans="1:2" x14ac:dyDescent="0.3">
      <c r="A47" s="27">
        <v>45</v>
      </c>
      <c r="B47" s="49" t="s">
        <v>122</v>
      </c>
    </row>
    <row r="48" spans="1:2" x14ac:dyDescent="0.3">
      <c r="A48" s="27">
        <v>46</v>
      </c>
      <c r="B48" s="49" t="s">
        <v>123</v>
      </c>
    </row>
    <row r="49" spans="1:2" x14ac:dyDescent="0.3">
      <c r="A49" s="27">
        <v>47</v>
      </c>
      <c r="B49" s="49" t="s">
        <v>124</v>
      </c>
    </row>
    <row r="50" spans="1:2" x14ac:dyDescent="0.3">
      <c r="A50" s="27">
        <v>48</v>
      </c>
      <c r="B50" s="49" t="s">
        <v>125</v>
      </c>
    </row>
    <row r="51" spans="1:2" x14ac:dyDescent="0.3">
      <c r="A51" s="27">
        <v>49</v>
      </c>
      <c r="B51" s="49" t="s">
        <v>126</v>
      </c>
    </row>
    <row r="52" spans="1:2" x14ac:dyDescent="0.3">
      <c r="A52" s="27">
        <v>50</v>
      </c>
      <c r="B52" s="49" t="s">
        <v>127</v>
      </c>
    </row>
    <row r="53" spans="1:2" x14ac:dyDescent="0.3">
      <c r="A53" s="27">
        <v>51</v>
      </c>
      <c r="B53" s="49" t="s">
        <v>128</v>
      </c>
    </row>
    <row r="54" spans="1:2" x14ac:dyDescent="0.3">
      <c r="A54" s="27">
        <v>52</v>
      </c>
      <c r="B54" s="49" t="s">
        <v>129</v>
      </c>
    </row>
    <row r="55" spans="1:2" x14ac:dyDescent="0.3">
      <c r="A55" s="27">
        <v>53</v>
      </c>
      <c r="B55" s="49" t="s">
        <v>130</v>
      </c>
    </row>
    <row r="56" spans="1:2" x14ac:dyDescent="0.3">
      <c r="A56" s="27">
        <v>54</v>
      </c>
      <c r="B56" s="49" t="s">
        <v>131</v>
      </c>
    </row>
    <row r="57" spans="1:2" x14ac:dyDescent="0.3">
      <c r="A57" s="27">
        <v>55</v>
      </c>
      <c r="B57" s="49" t="s">
        <v>132</v>
      </c>
    </row>
    <row r="58" spans="1:2" x14ac:dyDescent="0.3">
      <c r="A58" s="27">
        <v>56</v>
      </c>
      <c r="B58" s="49" t="s">
        <v>133</v>
      </c>
    </row>
    <row r="59" spans="1:2" x14ac:dyDescent="0.3">
      <c r="A59" s="27">
        <v>57</v>
      </c>
      <c r="B59" s="49" t="s">
        <v>134</v>
      </c>
    </row>
    <row r="60" spans="1:2" x14ac:dyDescent="0.3">
      <c r="A60" s="27">
        <v>58</v>
      </c>
      <c r="B60" s="49" t="s">
        <v>135</v>
      </c>
    </row>
    <row r="61" spans="1:2" x14ac:dyDescent="0.3">
      <c r="A61" s="27">
        <v>59</v>
      </c>
      <c r="B61" s="49" t="s">
        <v>136</v>
      </c>
    </row>
    <row r="62" spans="1:2" x14ac:dyDescent="0.3">
      <c r="A62" s="27">
        <v>60</v>
      </c>
      <c r="B62" s="49" t="s">
        <v>137</v>
      </c>
    </row>
    <row r="63" spans="1:2" x14ac:dyDescent="0.3">
      <c r="A63" s="27">
        <v>61</v>
      </c>
      <c r="B63" s="49" t="s">
        <v>138</v>
      </c>
    </row>
    <row r="64" spans="1:2" x14ac:dyDescent="0.3">
      <c r="A64" s="27">
        <v>62</v>
      </c>
      <c r="B64" s="49" t="s">
        <v>139</v>
      </c>
    </row>
    <row r="65" spans="1:2" x14ac:dyDescent="0.3">
      <c r="A65" s="27">
        <v>63</v>
      </c>
      <c r="B65" s="49" t="s">
        <v>140</v>
      </c>
    </row>
    <row r="66" spans="1:2" x14ac:dyDescent="0.3">
      <c r="A66" s="27">
        <v>64</v>
      </c>
      <c r="B66" s="49" t="s">
        <v>141</v>
      </c>
    </row>
    <row r="67" spans="1:2" x14ac:dyDescent="0.3">
      <c r="A67" s="27">
        <v>65</v>
      </c>
      <c r="B67" s="49" t="s">
        <v>142</v>
      </c>
    </row>
    <row r="68" spans="1:2" x14ac:dyDescent="0.3">
      <c r="A68" s="27">
        <v>66</v>
      </c>
      <c r="B68" s="49" t="s">
        <v>143</v>
      </c>
    </row>
    <row r="69" spans="1:2" x14ac:dyDescent="0.3">
      <c r="A69" s="27">
        <v>67</v>
      </c>
      <c r="B69" s="49" t="s">
        <v>144</v>
      </c>
    </row>
    <row r="70" spans="1:2" x14ac:dyDescent="0.3">
      <c r="A70" s="27">
        <v>68</v>
      </c>
      <c r="B70" s="49" t="s">
        <v>145</v>
      </c>
    </row>
    <row r="71" spans="1:2" x14ac:dyDescent="0.3">
      <c r="A71" s="27">
        <v>69</v>
      </c>
      <c r="B71" s="49" t="s">
        <v>146</v>
      </c>
    </row>
    <row r="72" spans="1:2" x14ac:dyDescent="0.3">
      <c r="A72" s="27">
        <v>70</v>
      </c>
      <c r="B72" s="49" t="s">
        <v>147</v>
      </c>
    </row>
    <row r="73" spans="1:2" x14ac:dyDescent="0.3">
      <c r="A73" s="27">
        <v>71</v>
      </c>
      <c r="B73" s="49" t="s">
        <v>148</v>
      </c>
    </row>
    <row r="74" spans="1:2" x14ac:dyDescent="0.3">
      <c r="A74" s="27">
        <v>72</v>
      </c>
      <c r="B74" s="49" t="s">
        <v>149</v>
      </c>
    </row>
    <row r="75" spans="1:2" x14ac:dyDescent="0.3">
      <c r="A75" s="27">
        <v>73</v>
      </c>
      <c r="B75" s="49" t="s">
        <v>150</v>
      </c>
    </row>
    <row r="76" spans="1:2" x14ac:dyDescent="0.3">
      <c r="A76" s="27">
        <v>74</v>
      </c>
      <c r="B76" s="49" t="s">
        <v>151</v>
      </c>
    </row>
    <row r="77" spans="1:2" x14ac:dyDescent="0.3">
      <c r="A77" s="27">
        <v>75</v>
      </c>
      <c r="B77" s="49" t="s">
        <v>152</v>
      </c>
    </row>
    <row r="78" spans="1:2" x14ac:dyDescent="0.3">
      <c r="A78" s="27">
        <v>76</v>
      </c>
      <c r="B78" s="49" t="s">
        <v>153</v>
      </c>
    </row>
    <row r="79" spans="1:2" x14ac:dyDescent="0.3">
      <c r="A79" s="27">
        <v>77</v>
      </c>
      <c r="B79" s="49" t="s">
        <v>154</v>
      </c>
    </row>
    <row r="80" spans="1:2" x14ac:dyDescent="0.3">
      <c r="A80" s="27">
        <v>78</v>
      </c>
      <c r="B80" s="49" t="s">
        <v>155</v>
      </c>
    </row>
    <row r="81" spans="1:2" x14ac:dyDescent="0.3">
      <c r="A81" s="27">
        <v>79</v>
      </c>
      <c r="B81" s="49" t="s">
        <v>156</v>
      </c>
    </row>
    <row r="82" spans="1:2" x14ac:dyDescent="0.3">
      <c r="A82" s="27">
        <v>80</v>
      </c>
      <c r="B82" s="49" t="s">
        <v>157</v>
      </c>
    </row>
    <row r="83" spans="1:2" x14ac:dyDescent="0.3">
      <c r="A83" s="27">
        <v>81</v>
      </c>
      <c r="B83" s="49" t="s">
        <v>158</v>
      </c>
    </row>
    <row r="84" spans="1:2" x14ac:dyDescent="0.3">
      <c r="A84" s="27">
        <v>82</v>
      </c>
      <c r="B84" s="49" t="s">
        <v>159</v>
      </c>
    </row>
    <row r="85" spans="1:2" x14ac:dyDescent="0.3">
      <c r="A85" s="27">
        <v>83</v>
      </c>
      <c r="B85" s="49" t="s">
        <v>160</v>
      </c>
    </row>
    <row r="86" spans="1:2" x14ac:dyDescent="0.3">
      <c r="A86" s="27">
        <v>84</v>
      </c>
      <c r="B86" s="49" t="s">
        <v>161</v>
      </c>
    </row>
    <row r="87" spans="1:2" x14ac:dyDescent="0.3">
      <c r="A87" s="27">
        <v>85</v>
      </c>
      <c r="B87" s="49" t="s">
        <v>162</v>
      </c>
    </row>
    <row r="88" spans="1:2" x14ac:dyDescent="0.3">
      <c r="A88" s="27">
        <v>86</v>
      </c>
      <c r="B88" s="49" t="s">
        <v>163</v>
      </c>
    </row>
    <row r="89" spans="1:2" x14ac:dyDescent="0.3">
      <c r="A89" s="27">
        <v>87</v>
      </c>
      <c r="B89" s="49" t="s">
        <v>164</v>
      </c>
    </row>
    <row r="90" spans="1:2" x14ac:dyDescent="0.3">
      <c r="A90" s="27">
        <v>88</v>
      </c>
      <c r="B90" s="49" t="s">
        <v>165</v>
      </c>
    </row>
    <row r="91" spans="1:2" x14ac:dyDescent="0.3">
      <c r="A91" s="27">
        <v>89</v>
      </c>
      <c r="B91" s="49" t="s">
        <v>166</v>
      </c>
    </row>
    <row r="92" spans="1:2" x14ac:dyDescent="0.3">
      <c r="A92" s="27">
        <v>90</v>
      </c>
      <c r="B92" s="49" t="s">
        <v>167</v>
      </c>
    </row>
    <row r="93" spans="1:2" x14ac:dyDescent="0.3">
      <c r="A93" s="27">
        <v>91</v>
      </c>
      <c r="B93" s="49" t="s">
        <v>168</v>
      </c>
    </row>
    <row r="94" spans="1:2" x14ac:dyDescent="0.3">
      <c r="A94" s="27">
        <v>92</v>
      </c>
      <c r="B94" s="49" t="s">
        <v>169</v>
      </c>
    </row>
    <row r="95" spans="1:2" x14ac:dyDescent="0.3">
      <c r="A95" s="27">
        <v>93</v>
      </c>
      <c r="B95" s="49" t="s">
        <v>170</v>
      </c>
    </row>
    <row r="96" spans="1:2" x14ac:dyDescent="0.3">
      <c r="A96" s="27">
        <v>94</v>
      </c>
      <c r="B96" s="49" t="s">
        <v>171</v>
      </c>
    </row>
    <row r="97" spans="1:7" x14ac:dyDescent="0.3">
      <c r="A97" s="6"/>
      <c r="B97" s="6"/>
      <c r="C97" s="14"/>
      <c r="D97" s="14"/>
      <c r="E97" s="5"/>
      <c r="F97"/>
      <c r="G97"/>
    </row>
    <row r="98" spans="1:7" x14ac:dyDescent="0.3">
      <c r="A98" s="6"/>
      <c r="B98" s="6"/>
      <c r="C98" s="14"/>
      <c r="D98" s="14"/>
      <c r="E98" s="5"/>
      <c r="F98"/>
      <c r="G98"/>
    </row>
    <row r="99" spans="1:7" x14ac:dyDescent="0.3">
      <c r="A99" s="6"/>
      <c r="B99" s="6"/>
      <c r="C99" s="14"/>
      <c r="D99" s="14"/>
      <c r="E99" s="5"/>
      <c r="F99"/>
      <c r="G99"/>
    </row>
    <row r="100" spans="1:7" x14ac:dyDescent="0.3">
      <c r="A100" s="6"/>
      <c r="B100" s="6"/>
      <c r="C100" s="14"/>
      <c r="D100" s="14"/>
      <c r="E100" s="5"/>
      <c r="F100"/>
      <c r="G100"/>
    </row>
    <row r="101" spans="1:7" x14ac:dyDescent="0.3">
      <c r="A101" s="6"/>
      <c r="B101" s="6"/>
      <c r="C101" s="14"/>
      <c r="D101" s="14"/>
      <c r="E101" s="5"/>
      <c r="F101"/>
      <c r="G101"/>
    </row>
    <row r="102" spans="1:7" x14ac:dyDescent="0.3">
      <c r="A102" s="6"/>
      <c r="B102" s="6"/>
      <c r="C102" s="14"/>
      <c r="D102" s="14"/>
      <c r="E102" s="5"/>
      <c r="F102"/>
      <c r="G102"/>
    </row>
    <row r="103" spans="1:7" x14ac:dyDescent="0.3">
      <c r="A103" s="6"/>
      <c r="B103" s="6"/>
      <c r="C103" s="14"/>
      <c r="D103" s="14"/>
      <c r="E103" s="5"/>
      <c r="F103"/>
      <c r="G103"/>
    </row>
    <row r="104" spans="1:7" x14ac:dyDescent="0.3">
      <c r="A104" s="6"/>
      <c r="B104" s="6"/>
      <c r="C104" s="14"/>
      <c r="D104" s="14"/>
      <c r="E104" s="5"/>
      <c r="F104"/>
      <c r="G104"/>
    </row>
    <row r="105" spans="1:7" x14ac:dyDescent="0.3">
      <c r="A105" s="6"/>
      <c r="B105" s="6"/>
      <c r="C105" s="14"/>
      <c r="D105" s="14"/>
      <c r="E105" s="5"/>
      <c r="F105"/>
      <c r="G105"/>
    </row>
    <row r="106" spans="1:7" x14ac:dyDescent="0.3">
      <c r="A106" s="6"/>
      <c r="B106" s="6"/>
      <c r="C106" s="14"/>
      <c r="D106" s="14"/>
      <c r="E106" s="5"/>
      <c r="F106"/>
      <c r="G106"/>
    </row>
    <row r="107" spans="1:7" x14ac:dyDescent="0.3">
      <c r="A107" s="6"/>
      <c r="B107" s="6"/>
      <c r="C107" s="14"/>
      <c r="D107" s="14"/>
      <c r="E107" s="5"/>
      <c r="F107"/>
      <c r="G107"/>
    </row>
    <row r="108" spans="1:7" x14ac:dyDescent="0.3">
      <c r="A108" s="6"/>
      <c r="B108" s="6"/>
      <c r="C108" s="14"/>
      <c r="D108" s="14"/>
      <c r="E108" s="5"/>
      <c r="F108"/>
      <c r="G108"/>
    </row>
    <row r="109" spans="1:7" x14ac:dyDescent="0.3">
      <c r="A109" s="6"/>
      <c r="B109" s="6"/>
      <c r="C109" s="14"/>
      <c r="D109" s="14"/>
      <c r="E109" s="5"/>
      <c r="F109"/>
      <c r="G109"/>
    </row>
    <row r="110" spans="1:7" x14ac:dyDescent="0.3">
      <c r="A110" s="6"/>
      <c r="B110" s="6"/>
      <c r="C110" s="14"/>
      <c r="D110" s="14"/>
      <c r="E110" s="5"/>
      <c r="F110"/>
      <c r="G110"/>
    </row>
    <row r="111" spans="1:7" x14ac:dyDescent="0.3">
      <c r="A111" s="6"/>
      <c r="B111" s="6"/>
      <c r="C111" s="14"/>
      <c r="D111" s="14"/>
      <c r="E111" s="5"/>
      <c r="F111"/>
      <c r="G111"/>
    </row>
    <row r="112" spans="1:7" x14ac:dyDescent="0.3">
      <c r="A112" s="6"/>
      <c r="B112" s="6"/>
      <c r="C112" s="14"/>
      <c r="D112" s="14"/>
      <c r="E112" s="5"/>
      <c r="F112"/>
      <c r="G112"/>
    </row>
    <row r="113" spans="1:7" x14ac:dyDescent="0.3">
      <c r="A113" s="6"/>
      <c r="B113" s="6"/>
      <c r="C113" s="14"/>
      <c r="D113" s="14"/>
      <c r="E113" s="5"/>
      <c r="F113"/>
      <c r="G113"/>
    </row>
    <row r="114" spans="1:7" x14ac:dyDescent="0.3">
      <c r="A114" s="6"/>
      <c r="B114" s="6"/>
      <c r="C114" s="14"/>
      <c r="D114" s="14"/>
      <c r="E114" s="5"/>
      <c r="F114"/>
      <c r="G114"/>
    </row>
    <row r="115" spans="1:7" x14ac:dyDescent="0.3">
      <c r="A115" s="6"/>
      <c r="B115" s="6"/>
      <c r="C115" s="14"/>
      <c r="D115" s="14"/>
      <c r="E115" s="5"/>
      <c r="F115"/>
      <c r="G115"/>
    </row>
    <row r="116" spans="1:7" x14ac:dyDescent="0.3">
      <c r="A116" s="6"/>
      <c r="B116" s="6"/>
      <c r="C116" s="14"/>
      <c r="D116" s="14"/>
      <c r="E116" s="5"/>
      <c r="F116"/>
      <c r="G116"/>
    </row>
    <row r="117" spans="1:7" x14ac:dyDescent="0.3">
      <c r="A117" s="6"/>
      <c r="B117" s="6"/>
      <c r="C117" s="14"/>
      <c r="D117" s="14"/>
      <c r="E117" s="5"/>
      <c r="F117"/>
      <c r="G117"/>
    </row>
    <row r="118" spans="1:7" x14ac:dyDescent="0.3">
      <c r="A118" s="6"/>
      <c r="B118" s="6"/>
      <c r="C118" s="14"/>
      <c r="D118" s="14"/>
      <c r="E118" s="5"/>
      <c r="F118"/>
      <c r="G118"/>
    </row>
    <row r="119" spans="1:7" x14ac:dyDescent="0.3">
      <c r="A119" s="6"/>
      <c r="B119" s="6"/>
      <c r="C119" s="14"/>
      <c r="D119" s="14"/>
      <c r="E119" s="5"/>
      <c r="F119"/>
      <c r="G119"/>
    </row>
    <row r="120" spans="1:7" x14ac:dyDescent="0.3">
      <c r="A120" s="6"/>
      <c r="B120" s="6"/>
      <c r="C120" s="14"/>
      <c r="D120" s="14"/>
      <c r="E120" s="5"/>
      <c r="F120"/>
      <c r="G120"/>
    </row>
    <row r="121" spans="1:7" x14ac:dyDescent="0.3">
      <c r="A121" s="6"/>
      <c r="B121" s="6"/>
      <c r="C121" s="14"/>
      <c r="D121" s="14"/>
      <c r="E121" s="5"/>
      <c r="F121"/>
      <c r="G121"/>
    </row>
    <row r="122" spans="1:7" x14ac:dyDescent="0.3">
      <c r="A122" s="6"/>
      <c r="B122" s="6"/>
      <c r="C122" s="14"/>
      <c r="D122" s="14"/>
      <c r="E122" s="5"/>
      <c r="F122"/>
      <c r="G122"/>
    </row>
    <row r="123" spans="1:7" x14ac:dyDescent="0.3">
      <c r="A123" s="6"/>
      <c r="B123" s="6"/>
      <c r="C123" s="14"/>
      <c r="D123" s="14"/>
      <c r="E123" s="5"/>
      <c r="F123"/>
      <c r="G123"/>
    </row>
    <row r="124" spans="1:7" x14ac:dyDescent="0.3">
      <c r="A124" s="6"/>
      <c r="B124" s="6"/>
      <c r="C124" s="14"/>
      <c r="D124" s="14"/>
      <c r="E124" s="5"/>
      <c r="F124"/>
      <c r="G124"/>
    </row>
    <row r="125" spans="1:7" x14ac:dyDescent="0.3">
      <c r="A125" s="6"/>
      <c r="B125" s="6"/>
      <c r="C125" s="14"/>
      <c r="D125" s="14"/>
      <c r="E125" s="5"/>
      <c r="F125"/>
      <c r="G125"/>
    </row>
    <row r="126" spans="1:7" x14ac:dyDescent="0.3">
      <c r="A126" s="6"/>
      <c r="B126" s="6"/>
      <c r="C126" s="14"/>
      <c r="D126" s="14"/>
      <c r="E126" s="5"/>
      <c r="F126"/>
      <c r="G126"/>
    </row>
    <row r="127" spans="1:7" x14ac:dyDescent="0.3">
      <c r="A127" s="6"/>
      <c r="B127" s="6"/>
      <c r="C127" s="14"/>
      <c r="D127" s="14"/>
      <c r="E127" s="5"/>
      <c r="F127"/>
      <c r="G127"/>
    </row>
    <row r="128" spans="1:7" x14ac:dyDescent="0.3">
      <c r="A128" s="6"/>
      <c r="B128" s="6"/>
      <c r="C128" s="14"/>
      <c r="D128" s="14"/>
      <c r="E128" s="5"/>
      <c r="F128"/>
      <c r="G128"/>
    </row>
    <row r="129" spans="1:7" x14ac:dyDescent="0.3">
      <c r="A129" s="6"/>
      <c r="B129" s="6"/>
      <c r="C129" s="14"/>
      <c r="D129" s="14"/>
      <c r="E129" s="5"/>
      <c r="F129"/>
      <c r="G129"/>
    </row>
    <row r="130" spans="1:7" x14ac:dyDescent="0.3">
      <c r="A130" s="6"/>
      <c r="B130" s="6"/>
      <c r="C130" s="14"/>
      <c r="D130" s="14"/>
      <c r="E130" s="5"/>
      <c r="F130"/>
      <c r="G130"/>
    </row>
    <row r="131" spans="1:7" x14ac:dyDescent="0.3">
      <c r="A131" s="6"/>
      <c r="B131" s="6"/>
      <c r="C131" s="14"/>
      <c r="D131" s="14"/>
      <c r="E131" s="5"/>
      <c r="F131"/>
      <c r="G131"/>
    </row>
    <row r="132" spans="1:7" x14ac:dyDescent="0.3">
      <c r="A132" s="6"/>
      <c r="B132" s="6"/>
      <c r="C132" s="14"/>
      <c r="D132" s="14"/>
      <c r="E132" s="5"/>
      <c r="F132"/>
      <c r="G132"/>
    </row>
    <row r="133" spans="1:7" x14ac:dyDescent="0.3">
      <c r="A133" s="6"/>
      <c r="B133" s="6"/>
      <c r="C133" s="14"/>
      <c r="D133" s="14"/>
      <c r="E133" s="5"/>
      <c r="F133"/>
      <c r="G133"/>
    </row>
    <row r="134" spans="1:7" x14ac:dyDescent="0.3">
      <c r="A134" s="6"/>
      <c r="B134" s="6"/>
      <c r="C134" s="14"/>
      <c r="D134" s="14"/>
      <c r="E134" s="5"/>
      <c r="F134"/>
      <c r="G134"/>
    </row>
    <row r="135" spans="1:7" x14ac:dyDescent="0.3">
      <c r="A135" s="6"/>
      <c r="B135" s="6"/>
      <c r="C135" s="14"/>
      <c r="D135" s="14"/>
      <c r="E135" s="5"/>
      <c r="F135"/>
      <c r="G135"/>
    </row>
    <row r="136" spans="1:7" x14ac:dyDescent="0.3">
      <c r="A136" s="6"/>
      <c r="B136" s="6"/>
      <c r="C136" s="14"/>
      <c r="D136" s="14"/>
      <c r="E136" s="5"/>
      <c r="F136"/>
      <c r="G136"/>
    </row>
    <row r="137" spans="1:7" x14ac:dyDescent="0.3">
      <c r="A137" s="6"/>
      <c r="B137" s="6"/>
      <c r="C137" s="14"/>
      <c r="D137" s="14"/>
      <c r="E137" s="5"/>
      <c r="F137"/>
      <c r="G137"/>
    </row>
    <row r="138" spans="1:7" x14ac:dyDescent="0.3">
      <c r="A138" s="6"/>
      <c r="B138" s="6"/>
      <c r="C138" s="14"/>
      <c r="D138" s="14"/>
      <c r="E138" s="5"/>
      <c r="F138"/>
      <c r="G138"/>
    </row>
    <row r="139" spans="1:7" x14ac:dyDescent="0.3">
      <c r="A139" s="6"/>
      <c r="B139" s="6"/>
      <c r="C139" s="14"/>
      <c r="D139" s="14"/>
      <c r="E139" s="5"/>
      <c r="F139"/>
      <c r="G139"/>
    </row>
    <row r="140" spans="1:7" x14ac:dyDescent="0.3">
      <c r="A140" s="6"/>
      <c r="B140" s="6"/>
      <c r="C140" s="14"/>
      <c r="D140" s="14"/>
      <c r="E140" s="5"/>
      <c r="F140"/>
      <c r="G140"/>
    </row>
    <row r="141" spans="1:7" x14ac:dyDescent="0.3">
      <c r="A141" s="6"/>
      <c r="B141" s="6"/>
      <c r="C141" s="14"/>
      <c r="D141" s="14"/>
      <c r="E141" s="5"/>
      <c r="F141"/>
      <c r="G141"/>
    </row>
    <row r="142" spans="1:7" x14ac:dyDescent="0.3">
      <c r="A142" s="6"/>
      <c r="B142" s="6"/>
      <c r="C142" s="14"/>
      <c r="D142" s="14"/>
      <c r="E142" s="5"/>
      <c r="F142"/>
      <c r="G142"/>
    </row>
    <row r="143" spans="1:7" x14ac:dyDescent="0.3">
      <c r="A143" s="6"/>
      <c r="B143" s="6"/>
      <c r="C143" s="14"/>
      <c r="D143" s="14"/>
      <c r="E143" s="5"/>
      <c r="F143"/>
      <c r="G143"/>
    </row>
    <row r="144" spans="1:7" x14ac:dyDescent="0.3">
      <c r="A144" s="6"/>
      <c r="B144" s="6"/>
      <c r="C144" s="14"/>
      <c r="D144" s="14"/>
      <c r="E144" s="5"/>
      <c r="F144"/>
      <c r="G144"/>
    </row>
    <row r="145" spans="1:7" x14ac:dyDescent="0.3">
      <c r="A145" s="6"/>
      <c r="B145" s="6"/>
      <c r="C145" s="14"/>
      <c r="D145" s="14"/>
      <c r="E145" s="5"/>
      <c r="F145"/>
      <c r="G145"/>
    </row>
    <row r="146" spans="1:7" x14ac:dyDescent="0.3">
      <c r="A146" s="6"/>
      <c r="B146" s="6"/>
      <c r="C146" s="14"/>
      <c r="D146" s="14"/>
      <c r="E146" s="5"/>
      <c r="F146"/>
      <c r="G146"/>
    </row>
    <row r="147" spans="1:7" x14ac:dyDescent="0.3">
      <c r="A147" s="6"/>
      <c r="B147" s="6"/>
      <c r="C147" s="14"/>
      <c r="D147" s="14"/>
      <c r="E147" s="5"/>
      <c r="F147"/>
      <c r="G147"/>
    </row>
    <row r="148" spans="1:7" x14ac:dyDescent="0.3">
      <c r="A148" s="6"/>
      <c r="B148" s="6"/>
      <c r="C148" s="14"/>
      <c r="D148" s="14"/>
      <c r="E148" s="5"/>
      <c r="F148"/>
      <c r="G148"/>
    </row>
    <row r="149" spans="1:7" x14ac:dyDescent="0.3">
      <c r="A149" s="6"/>
      <c r="B149" s="6"/>
      <c r="C149" s="14"/>
      <c r="D149" s="14"/>
      <c r="E149" s="5"/>
      <c r="F149"/>
      <c r="G149"/>
    </row>
    <row r="150" spans="1:7" x14ac:dyDescent="0.3">
      <c r="A150" s="6"/>
      <c r="B150" s="6"/>
      <c r="C150" s="14"/>
      <c r="D150" s="14"/>
      <c r="E150" s="5"/>
      <c r="F150"/>
      <c r="G150"/>
    </row>
    <row r="151" spans="1:7" x14ac:dyDescent="0.3">
      <c r="A151" s="6"/>
      <c r="B151" s="6"/>
      <c r="C151" s="14"/>
      <c r="D151" s="14"/>
      <c r="E151" s="5"/>
      <c r="F151"/>
      <c r="G151"/>
    </row>
    <row r="152" spans="1:7" x14ac:dyDescent="0.3">
      <c r="A152" s="6"/>
      <c r="B152" s="6"/>
      <c r="C152" s="14"/>
      <c r="D152" s="14"/>
      <c r="E152" s="5"/>
      <c r="F152"/>
      <c r="G152"/>
    </row>
    <row r="153" spans="1:7" x14ac:dyDescent="0.3">
      <c r="A153" s="6"/>
      <c r="B153" s="6"/>
      <c r="C153" s="14"/>
      <c r="D153" s="14"/>
      <c r="E153" s="5"/>
      <c r="F153"/>
      <c r="G153"/>
    </row>
    <row r="154" spans="1:7" x14ac:dyDescent="0.3">
      <c r="A154" s="6"/>
      <c r="B154" s="6"/>
      <c r="C154" s="14"/>
      <c r="D154" s="14"/>
      <c r="E154" s="5"/>
      <c r="F154"/>
      <c r="G154"/>
    </row>
    <row r="155" spans="1:7" x14ac:dyDescent="0.3">
      <c r="A155" s="6"/>
      <c r="B155" s="6"/>
      <c r="C155" s="14"/>
      <c r="D155" s="14"/>
      <c r="E155" s="5"/>
      <c r="F155"/>
      <c r="G155"/>
    </row>
    <row r="156" spans="1:7" x14ac:dyDescent="0.3">
      <c r="A156" s="6"/>
      <c r="B156" s="6"/>
      <c r="C156" s="14"/>
      <c r="D156" s="14"/>
      <c r="E156" s="5"/>
      <c r="F156"/>
      <c r="G156"/>
    </row>
    <row r="157" spans="1:7" x14ac:dyDescent="0.3">
      <c r="A157" s="6"/>
      <c r="B157" s="6"/>
      <c r="C157" s="14"/>
      <c r="D157" s="14"/>
      <c r="E157" s="5"/>
      <c r="F157"/>
      <c r="G157"/>
    </row>
    <row r="158" spans="1:7" x14ac:dyDescent="0.3">
      <c r="A158" s="6"/>
      <c r="B158" s="6"/>
      <c r="C158" s="14"/>
      <c r="D158" s="14"/>
      <c r="E158" s="5"/>
      <c r="F158"/>
      <c r="G158"/>
    </row>
    <row r="159" spans="1:7" x14ac:dyDescent="0.3">
      <c r="A159" s="6"/>
      <c r="B159" s="6"/>
      <c r="C159" s="14"/>
      <c r="D159" s="14"/>
      <c r="E159" s="5"/>
      <c r="F159"/>
      <c r="G159"/>
    </row>
    <row r="160" spans="1:7" x14ac:dyDescent="0.3">
      <c r="A160" s="6"/>
      <c r="B160" s="6"/>
      <c r="C160" s="14"/>
      <c r="D160" s="14"/>
      <c r="E160" s="5"/>
      <c r="F160"/>
      <c r="G160"/>
    </row>
    <row r="161" spans="1:7" x14ac:dyDescent="0.3">
      <c r="A161" s="6"/>
      <c r="B161" s="6"/>
      <c r="C161" s="14"/>
      <c r="D161" s="14"/>
      <c r="E161" s="5"/>
      <c r="F161"/>
      <c r="G161"/>
    </row>
    <row r="162" spans="1:7" x14ac:dyDescent="0.3">
      <c r="A162" s="6"/>
      <c r="B162" s="6"/>
      <c r="C162" s="14"/>
      <c r="D162" s="14"/>
      <c r="E162" s="5"/>
      <c r="F162"/>
      <c r="G162"/>
    </row>
    <row r="163" spans="1:7" x14ac:dyDescent="0.3">
      <c r="A163" s="6"/>
      <c r="B163" s="6"/>
      <c r="C163" s="14"/>
      <c r="D163" s="14"/>
      <c r="E163" s="5"/>
      <c r="F163"/>
      <c r="G163"/>
    </row>
    <row r="164" spans="1:7" x14ac:dyDescent="0.3">
      <c r="A164" s="6"/>
      <c r="B164" s="6"/>
      <c r="C164" s="14"/>
      <c r="D164" s="14"/>
      <c r="E164" s="5"/>
      <c r="F164"/>
      <c r="G164"/>
    </row>
    <row r="165" spans="1:7" x14ac:dyDescent="0.3">
      <c r="A165" s="6"/>
      <c r="B165" s="6"/>
      <c r="C165" s="14"/>
      <c r="D165" s="14"/>
      <c r="E165" s="5"/>
      <c r="F165"/>
      <c r="G165"/>
    </row>
    <row r="166" spans="1:7" x14ac:dyDescent="0.3">
      <c r="A166" s="6"/>
      <c r="B166" s="6"/>
      <c r="C166" s="14"/>
      <c r="D166" s="14"/>
      <c r="E166" s="5"/>
      <c r="F166"/>
      <c r="G166"/>
    </row>
    <row r="167" spans="1:7" x14ac:dyDescent="0.3">
      <c r="A167" s="6"/>
      <c r="B167" s="6"/>
      <c r="C167" s="14"/>
      <c r="D167" s="14"/>
      <c r="E167" s="5"/>
      <c r="F167"/>
      <c r="G167"/>
    </row>
    <row r="168" spans="1:7" x14ac:dyDescent="0.3">
      <c r="A168" s="6"/>
      <c r="B168" s="6"/>
      <c r="C168" s="14"/>
      <c r="D168" s="14"/>
      <c r="E168" s="5"/>
      <c r="F168"/>
      <c r="G168"/>
    </row>
    <row r="169" spans="1:7" x14ac:dyDescent="0.3">
      <c r="A169" s="6"/>
      <c r="B169" s="6"/>
      <c r="C169" s="14"/>
      <c r="D169" s="14"/>
      <c r="E169" s="5"/>
      <c r="F169"/>
      <c r="G169"/>
    </row>
    <row r="170" spans="1:7" x14ac:dyDescent="0.3">
      <c r="A170" s="6"/>
      <c r="B170" s="6"/>
      <c r="C170" s="14"/>
      <c r="D170" s="14"/>
      <c r="E170" s="5"/>
      <c r="F170"/>
      <c r="G170"/>
    </row>
    <row r="171" spans="1:7" x14ac:dyDescent="0.3">
      <c r="A171" s="6"/>
      <c r="B171" s="6"/>
      <c r="C171" s="14"/>
      <c r="D171" s="14"/>
      <c r="E171" s="5"/>
      <c r="F171"/>
      <c r="G171"/>
    </row>
    <row r="172" spans="1:7" x14ac:dyDescent="0.3">
      <c r="A172" s="6"/>
      <c r="B172" s="6"/>
      <c r="C172" s="14"/>
      <c r="D172" s="14"/>
      <c r="E172" s="5"/>
      <c r="F172"/>
      <c r="G172"/>
    </row>
    <row r="173" spans="1:7" x14ac:dyDescent="0.3">
      <c r="A173" s="6"/>
      <c r="B173" s="6"/>
      <c r="C173" s="14"/>
      <c r="D173" s="14"/>
      <c r="E173" s="5"/>
      <c r="F173"/>
      <c r="G173"/>
    </row>
    <row r="174" spans="1:7" x14ac:dyDescent="0.3">
      <c r="A174" s="6"/>
      <c r="B174" s="6"/>
      <c r="C174" s="14"/>
      <c r="D174" s="14"/>
      <c r="E174" s="5"/>
      <c r="F174"/>
      <c r="G174"/>
    </row>
    <row r="175" spans="1:7" x14ac:dyDescent="0.3">
      <c r="A175" s="6"/>
      <c r="B175" s="6"/>
      <c r="C175" s="14"/>
      <c r="D175" s="14"/>
      <c r="E175" s="5"/>
      <c r="F175"/>
      <c r="G175"/>
    </row>
    <row r="176" spans="1:7" x14ac:dyDescent="0.3">
      <c r="A176" s="6"/>
      <c r="B176" s="6"/>
      <c r="C176" s="14"/>
      <c r="D176" s="14"/>
      <c r="E176" s="5"/>
      <c r="F176"/>
      <c r="G176"/>
    </row>
    <row r="177" spans="1:7" x14ac:dyDescent="0.3">
      <c r="A177" s="6"/>
      <c r="B177" s="6"/>
      <c r="C177" s="14"/>
      <c r="D177" s="14"/>
      <c r="E177" s="5"/>
      <c r="F177"/>
      <c r="G177"/>
    </row>
    <row r="178" spans="1:7" x14ac:dyDescent="0.3">
      <c r="A178" s="6"/>
      <c r="B178" s="6"/>
      <c r="C178" s="14"/>
      <c r="D178" s="14"/>
      <c r="E178" s="5"/>
      <c r="F178"/>
      <c r="G178"/>
    </row>
    <row r="179" spans="1:7" x14ac:dyDescent="0.3">
      <c r="A179" s="6"/>
      <c r="B179" s="6"/>
      <c r="C179" s="14"/>
      <c r="D179" s="14"/>
      <c r="E179" s="5"/>
      <c r="F179"/>
      <c r="G179"/>
    </row>
    <row r="180" spans="1:7" x14ac:dyDescent="0.3">
      <c r="A180" s="6"/>
      <c r="B180" s="6"/>
      <c r="C180" s="14"/>
      <c r="D180" s="14"/>
      <c r="E180" s="5"/>
      <c r="F180"/>
      <c r="G180"/>
    </row>
    <row r="181" spans="1:7" x14ac:dyDescent="0.3">
      <c r="A181" s="6"/>
      <c r="B181" s="6"/>
      <c r="C181" s="14"/>
      <c r="D181" s="14"/>
      <c r="E181" s="5"/>
      <c r="F181"/>
      <c r="G181"/>
    </row>
    <row r="182" spans="1:7" x14ac:dyDescent="0.3">
      <c r="A182" s="6"/>
      <c r="B182" s="6"/>
      <c r="C182" s="14"/>
      <c r="D182" s="14"/>
      <c r="E182" s="5"/>
      <c r="F182"/>
      <c r="G182"/>
    </row>
    <row r="183" spans="1:7" x14ac:dyDescent="0.3">
      <c r="A183" s="6"/>
      <c r="B183" s="6"/>
      <c r="C183" s="14"/>
      <c r="D183" s="14"/>
      <c r="E183" s="5"/>
      <c r="F183"/>
      <c r="G183"/>
    </row>
    <row r="184" spans="1:7" x14ac:dyDescent="0.3">
      <c r="A184" s="6"/>
      <c r="B184" s="6"/>
      <c r="C184" s="14"/>
      <c r="D184" s="14"/>
      <c r="E184" s="5"/>
      <c r="F184"/>
      <c r="G184"/>
    </row>
    <row r="185" spans="1:7" x14ac:dyDescent="0.3">
      <c r="A185" s="6"/>
      <c r="B185" s="6"/>
      <c r="C185" s="14"/>
      <c r="D185" s="14"/>
      <c r="E185" s="5"/>
      <c r="F185"/>
      <c r="G185"/>
    </row>
    <row r="186" spans="1:7" x14ac:dyDescent="0.3">
      <c r="A186" s="6"/>
      <c r="B186" s="6"/>
      <c r="C186" s="14"/>
      <c r="D186" s="14"/>
      <c r="E186" s="5"/>
      <c r="F186"/>
      <c r="G186"/>
    </row>
    <row r="187" spans="1:7" x14ac:dyDescent="0.3">
      <c r="A187" s="6"/>
      <c r="B187" s="6"/>
      <c r="C187" s="14"/>
      <c r="D187" s="14"/>
      <c r="E187" s="5"/>
      <c r="F187"/>
      <c r="G187"/>
    </row>
    <row r="188" spans="1:7" x14ac:dyDescent="0.3">
      <c r="A188" s="6"/>
      <c r="B188" s="6"/>
      <c r="C188" s="14"/>
      <c r="D188" s="14"/>
      <c r="E188" s="5"/>
      <c r="F188"/>
      <c r="G188"/>
    </row>
    <row r="189" spans="1:7" x14ac:dyDescent="0.3">
      <c r="A189" s="6"/>
      <c r="B189" s="6"/>
      <c r="C189" s="14"/>
      <c r="D189" s="14"/>
      <c r="E189" s="5"/>
      <c r="F189"/>
      <c r="G189"/>
    </row>
    <row r="190" spans="1:7" x14ac:dyDescent="0.3">
      <c r="A190" s="6"/>
      <c r="B190" s="6"/>
      <c r="C190" s="14"/>
      <c r="D190" s="14"/>
      <c r="E190" s="5"/>
      <c r="F190"/>
      <c r="G190"/>
    </row>
    <row r="191" spans="1:7" x14ac:dyDescent="0.3">
      <c r="A191" s="6"/>
      <c r="B191" s="6"/>
      <c r="C191" s="14"/>
      <c r="D191" s="14"/>
      <c r="E191" s="5"/>
      <c r="F191"/>
      <c r="G191"/>
    </row>
    <row r="192" spans="1:7" x14ac:dyDescent="0.3">
      <c r="A192" s="6"/>
      <c r="B192" s="6"/>
      <c r="C192" s="14"/>
      <c r="D192" s="14"/>
      <c r="E192" s="5"/>
      <c r="F192"/>
      <c r="G192"/>
    </row>
    <row r="193" spans="1:7" x14ac:dyDescent="0.3">
      <c r="A193" s="6"/>
      <c r="B193" s="6"/>
      <c r="C193" s="14"/>
      <c r="D193" s="14"/>
      <c r="E193" s="5"/>
      <c r="F193"/>
      <c r="G193"/>
    </row>
    <row r="194" spans="1:7" x14ac:dyDescent="0.3">
      <c r="A194" s="6"/>
      <c r="B194" s="6"/>
      <c r="C194" s="14"/>
      <c r="D194" s="14"/>
      <c r="E194" s="5"/>
      <c r="F194"/>
      <c r="G194"/>
    </row>
    <row r="195" spans="1:7" x14ac:dyDescent="0.3">
      <c r="A195" s="6"/>
      <c r="B195" s="6"/>
      <c r="C195" s="14"/>
      <c r="D195" s="14"/>
      <c r="E195" s="5"/>
      <c r="F195"/>
      <c r="G195"/>
    </row>
    <row r="196" spans="1:7" x14ac:dyDescent="0.3">
      <c r="A196" s="6"/>
      <c r="B196" s="6"/>
      <c r="C196" s="14"/>
      <c r="D196" s="14"/>
      <c r="E196" s="5"/>
      <c r="F196"/>
      <c r="G196"/>
    </row>
    <row r="197" spans="1:7" x14ac:dyDescent="0.3">
      <c r="A197" s="6"/>
      <c r="B197" s="6"/>
      <c r="C197" s="14"/>
      <c r="D197" s="14"/>
      <c r="E197" s="5"/>
      <c r="F197"/>
      <c r="G197"/>
    </row>
    <row r="198" spans="1:7" x14ac:dyDescent="0.3">
      <c r="A198" s="6"/>
      <c r="B198" s="6"/>
      <c r="C198" s="14"/>
      <c r="D198" s="14"/>
      <c r="E198" s="5"/>
      <c r="F198"/>
      <c r="G198"/>
    </row>
    <row r="199" spans="1:7" x14ac:dyDescent="0.3">
      <c r="A199" s="6"/>
      <c r="B199" s="6"/>
      <c r="C199" s="14"/>
      <c r="D199" s="14"/>
      <c r="E199" s="5"/>
      <c r="F199"/>
      <c r="G199"/>
    </row>
    <row r="200" spans="1:7" x14ac:dyDescent="0.3">
      <c r="A200" s="6"/>
      <c r="B200" s="6"/>
      <c r="C200" s="14"/>
      <c r="D200" s="14"/>
      <c r="E200" s="5"/>
      <c r="F200"/>
      <c r="G200"/>
    </row>
    <row r="201" spans="1:7" x14ac:dyDescent="0.3">
      <c r="A201" s="6"/>
      <c r="B201" s="6"/>
      <c r="C201" s="14"/>
      <c r="D201" s="14"/>
      <c r="E201" s="5"/>
      <c r="F201"/>
      <c r="G201"/>
    </row>
    <row r="202" spans="1:7" x14ac:dyDescent="0.3">
      <c r="A202" s="6"/>
      <c r="B202" s="6"/>
      <c r="C202" s="14"/>
      <c r="D202" s="14"/>
      <c r="E202" s="5"/>
      <c r="F202"/>
      <c r="G202"/>
    </row>
    <row r="203" spans="1:7" x14ac:dyDescent="0.3">
      <c r="A203" s="6"/>
      <c r="B203" s="6"/>
      <c r="C203" s="14"/>
      <c r="D203" s="14"/>
      <c r="E203" s="5"/>
      <c r="F203"/>
      <c r="G203"/>
    </row>
    <row r="204" spans="1:7" x14ac:dyDescent="0.3">
      <c r="A204" s="6"/>
      <c r="B204" s="6"/>
      <c r="C204" s="14"/>
      <c r="D204" s="14"/>
      <c r="E204" s="5"/>
      <c r="F204"/>
      <c r="G204"/>
    </row>
    <row r="205" spans="1:7" x14ac:dyDescent="0.3">
      <c r="A205" s="6"/>
      <c r="B205" s="6"/>
      <c r="C205" s="14"/>
      <c r="D205" s="14"/>
      <c r="E205" s="5"/>
      <c r="F205"/>
      <c r="G205"/>
    </row>
    <row r="206" spans="1:7" x14ac:dyDescent="0.3">
      <c r="A206" s="6"/>
      <c r="B206" s="6"/>
      <c r="C206" s="14"/>
      <c r="D206" s="14"/>
      <c r="E206" s="5"/>
      <c r="F206"/>
      <c r="G206"/>
    </row>
    <row r="207" spans="1:7" x14ac:dyDescent="0.3">
      <c r="A207" s="6"/>
      <c r="B207" s="6"/>
      <c r="C207" s="14"/>
      <c r="D207" s="14"/>
      <c r="E207" s="5"/>
      <c r="F207"/>
      <c r="G207"/>
    </row>
    <row r="208" spans="1:7" x14ac:dyDescent="0.3">
      <c r="A208" s="6"/>
      <c r="B208" s="6"/>
      <c r="C208" s="14"/>
      <c r="D208" s="14"/>
      <c r="E208" s="5"/>
      <c r="F208"/>
      <c r="G208"/>
    </row>
    <row r="209" spans="1:7" x14ac:dyDescent="0.3">
      <c r="A209" s="6"/>
      <c r="B209" s="6"/>
      <c r="C209" s="14"/>
      <c r="D209" s="14"/>
      <c r="E209" s="5"/>
      <c r="F209"/>
      <c r="G209"/>
    </row>
    <row r="210" spans="1:7" x14ac:dyDescent="0.3">
      <c r="A210" s="6"/>
      <c r="B210" s="6"/>
      <c r="C210" s="14"/>
      <c r="D210" s="14"/>
      <c r="E210" s="5"/>
      <c r="F210"/>
      <c r="G210"/>
    </row>
    <row r="211" spans="1:7" x14ac:dyDescent="0.3">
      <c r="A211" s="6"/>
      <c r="B211" s="6"/>
      <c r="C211" s="14"/>
      <c r="D211" s="14"/>
      <c r="E211" s="5"/>
      <c r="F211"/>
      <c r="G211"/>
    </row>
    <row r="212" spans="1:7" x14ac:dyDescent="0.3">
      <c r="A212" s="6"/>
      <c r="B212" s="6"/>
      <c r="C212" s="14"/>
      <c r="D212" s="14"/>
      <c r="E212" s="5"/>
      <c r="F212"/>
      <c r="G212"/>
    </row>
    <row r="213" spans="1:7" x14ac:dyDescent="0.3">
      <c r="A213" s="6"/>
      <c r="B213" s="6"/>
      <c r="C213" s="14"/>
      <c r="D213" s="14"/>
      <c r="E213" s="5"/>
      <c r="F213"/>
      <c r="G213"/>
    </row>
    <row r="214" spans="1:7" x14ac:dyDescent="0.3">
      <c r="A214" s="6"/>
      <c r="B214" s="6"/>
      <c r="C214" s="14"/>
      <c r="D214" s="14"/>
      <c r="E214" s="5"/>
      <c r="F214"/>
      <c r="G214"/>
    </row>
    <row r="215" spans="1:7" x14ac:dyDescent="0.3">
      <c r="A215" s="6"/>
      <c r="B215" s="6"/>
      <c r="C215" s="14"/>
      <c r="D215" s="14"/>
      <c r="E215" s="5"/>
      <c r="F215"/>
      <c r="G215"/>
    </row>
    <row r="216" spans="1:7" x14ac:dyDescent="0.3">
      <c r="A216" s="6"/>
      <c r="B216" s="6"/>
      <c r="C216" s="14"/>
      <c r="D216" s="14"/>
      <c r="E216" s="5"/>
      <c r="F216"/>
      <c r="G216"/>
    </row>
    <row r="217" spans="1:7" x14ac:dyDescent="0.3">
      <c r="A217" s="6"/>
      <c r="B217" s="6"/>
      <c r="C217" s="14"/>
      <c r="D217" s="14"/>
      <c r="E217" s="5"/>
      <c r="F217"/>
      <c r="G217"/>
    </row>
    <row r="218" spans="1:7" x14ac:dyDescent="0.3">
      <c r="A218" s="6"/>
      <c r="B218" s="6"/>
      <c r="C218" s="14"/>
      <c r="D218" s="14"/>
      <c r="E218" s="5"/>
      <c r="F218"/>
      <c r="G218"/>
    </row>
    <row r="219" spans="1:7" x14ac:dyDescent="0.3">
      <c r="A219" s="6"/>
      <c r="B219" s="6"/>
      <c r="C219" s="14"/>
      <c r="D219" s="14"/>
      <c r="E219" s="5"/>
      <c r="F219"/>
      <c r="G219"/>
    </row>
    <row r="220" spans="1:7" x14ac:dyDescent="0.3">
      <c r="A220" s="6"/>
      <c r="B220" s="6"/>
      <c r="C220" s="14"/>
      <c r="D220" s="14"/>
      <c r="E220" s="5"/>
      <c r="F220"/>
      <c r="G220"/>
    </row>
    <row r="221" spans="1:7" x14ac:dyDescent="0.3">
      <c r="A221" s="6"/>
      <c r="B221" s="6"/>
      <c r="C221" s="14"/>
      <c r="D221" s="14"/>
      <c r="E221" s="5"/>
      <c r="F221"/>
      <c r="G221"/>
    </row>
    <row r="222" spans="1:7" x14ac:dyDescent="0.3">
      <c r="A222" s="6"/>
      <c r="B222" s="6"/>
      <c r="C222" s="14"/>
      <c r="D222" s="14"/>
      <c r="E222" s="5"/>
      <c r="F222"/>
      <c r="G222"/>
    </row>
    <row r="223" spans="1:7" x14ac:dyDescent="0.3">
      <c r="A223" s="6"/>
      <c r="B223" s="6"/>
      <c r="C223" s="14"/>
      <c r="D223" s="14"/>
      <c r="E223" s="5"/>
      <c r="F223"/>
      <c r="G223"/>
    </row>
    <row r="224" spans="1:7" x14ac:dyDescent="0.3">
      <c r="A224" s="6"/>
      <c r="B224" s="6"/>
      <c r="C224" s="14"/>
      <c r="D224" s="14"/>
      <c r="E224" s="5"/>
      <c r="F224"/>
      <c r="G224"/>
    </row>
    <row r="225" spans="1:7" x14ac:dyDescent="0.3">
      <c r="A225" s="6"/>
      <c r="B225" s="6"/>
      <c r="C225" s="14"/>
      <c r="D225" s="14"/>
      <c r="E225" s="5"/>
      <c r="F225"/>
      <c r="G225"/>
    </row>
    <row r="226" spans="1:7" x14ac:dyDescent="0.3">
      <c r="A226" s="6"/>
      <c r="B226" s="6"/>
      <c r="C226" s="14"/>
      <c r="D226" s="14"/>
      <c r="E226" s="5"/>
      <c r="F226"/>
      <c r="G226"/>
    </row>
    <row r="227" spans="1:7" x14ac:dyDescent="0.3">
      <c r="A227" s="6"/>
      <c r="B227" s="6"/>
      <c r="C227" s="14"/>
      <c r="D227" s="14"/>
      <c r="E227" s="5"/>
      <c r="F227"/>
      <c r="G227"/>
    </row>
    <row r="228" spans="1:7" x14ac:dyDescent="0.3">
      <c r="A228" s="6"/>
      <c r="B228" s="6"/>
      <c r="C228" s="14"/>
      <c r="D228" s="14"/>
      <c r="E228" s="5"/>
      <c r="F228"/>
      <c r="G228"/>
    </row>
    <row r="229" spans="1:7" x14ac:dyDescent="0.3">
      <c r="A229" s="6"/>
      <c r="B229" s="6"/>
      <c r="C229" s="14"/>
      <c r="D229" s="14"/>
      <c r="E229" s="5"/>
      <c r="F229"/>
      <c r="G229"/>
    </row>
    <row r="230" spans="1:7" x14ac:dyDescent="0.3">
      <c r="A230" s="6"/>
      <c r="B230" s="6"/>
      <c r="C230" s="14"/>
      <c r="D230" s="14"/>
      <c r="E230" s="5"/>
      <c r="F230"/>
      <c r="G230"/>
    </row>
    <row r="231" spans="1:7" x14ac:dyDescent="0.3">
      <c r="A231" s="6"/>
      <c r="B231" s="6"/>
      <c r="C231" s="14"/>
      <c r="D231" s="14"/>
      <c r="E231" s="5"/>
      <c r="F231"/>
      <c r="G231"/>
    </row>
    <row r="232" spans="1:7" x14ac:dyDescent="0.3">
      <c r="A232" s="6"/>
      <c r="B232" s="6"/>
      <c r="C232" s="14"/>
      <c r="D232" s="14"/>
      <c r="E232" s="5"/>
      <c r="F232"/>
      <c r="G232"/>
    </row>
    <row r="233" spans="1:7" x14ac:dyDescent="0.3">
      <c r="A233" s="6"/>
      <c r="B233" s="6"/>
      <c r="C233" s="14"/>
      <c r="D233" s="14"/>
      <c r="E233" s="5"/>
      <c r="F233"/>
      <c r="G233"/>
    </row>
    <row r="234" spans="1:7" x14ac:dyDescent="0.3">
      <c r="A234" s="6"/>
      <c r="B234" s="6"/>
      <c r="C234" s="14"/>
      <c r="D234" s="14"/>
      <c r="E234" s="5"/>
      <c r="F234"/>
      <c r="G234"/>
    </row>
    <row r="235" spans="1:7" x14ac:dyDescent="0.3">
      <c r="A235" s="6"/>
      <c r="B235" s="6"/>
      <c r="C235" s="14"/>
      <c r="D235" s="14"/>
      <c r="E235" s="5"/>
      <c r="F235"/>
      <c r="G235"/>
    </row>
    <row r="236" spans="1:7" x14ac:dyDescent="0.3">
      <c r="A236" s="6"/>
      <c r="B236" s="6"/>
      <c r="C236" s="14"/>
      <c r="D236" s="14"/>
      <c r="E236" s="5"/>
      <c r="F236"/>
      <c r="G236"/>
    </row>
    <row r="237" spans="1:7" x14ac:dyDescent="0.3">
      <c r="A237" s="6"/>
      <c r="B237" s="6"/>
      <c r="C237" s="14"/>
      <c r="D237" s="14"/>
      <c r="E237" s="5"/>
      <c r="F237"/>
      <c r="G237"/>
    </row>
    <row r="238" spans="1:7" x14ac:dyDescent="0.3">
      <c r="A238" s="6"/>
      <c r="B238" s="6"/>
      <c r="C238" s="14"/>
      <c r="D238" s="14"/>
      <c r="E238" s="5"/>
      <c r="F238"/>
      <c r="G238"/>
    </row>
    <row r="239" spans="1:7" x14ac:dyDescent="0.3">
      <c r="A239" s="6"/>
      <c r="B239" s="6"/>
      <c r="C239" s="14"/>
      <c r="D239" s="14"/>
      <c r="E239" s="5"/>
      <c r="F239"/>
      <c r="G239"/>
    </row>
    <row r="240" spans="1:7" x14ac:dyDescent="0.3">
      <c r="A240" s="6"/>
      <c r="B240" s="6"/>
      <c r="C240" s="14"/>
      <c r="D240" s="14"/>
      <c r="E240" s="5"/>
      <c r="F240"/>
      <c r="G240"/>
    </row>
    <row r="241" spans="1:7" x14ac:dyDescent="0.3">
      <c r="A241" s="6"/>
      <c r="B241" s="6"/>
      <c r="C241" s="14"/>
      <c r="D241" s="14"/>
      <c r="E241" s="5"/>
      <c r="F241"/>
      <c r="G241"/>
    </row>
    <row r="242" spans="1:7" x14ac:dyDescent="0.3">
      <c r="A242" s="6"/>
      <c r="B242" s="6"/>
      <c r="C242" s="14"/>
      <c r="D242" s="14"/>
      <c r="E242" s="5"/>
      <c r="F242"/>
      <c r="G242"/>
    </row>
    <row r="243" spans="1:7" x14ac:dyDescent="0.3">
      <c r="A243" s="6"/>
      <c r="B243" s="6"/>
      <c r="C243" s="14"/>
      <c r="D243" s="14"/>
      <c r="E243" s="5"/>
      <c r="F243"/>
      <c r="G243"/>
    </row>
    <row r="244" spans="1:7" x14ac:dyDescent="0.3">
      <c r="A244" s="6"/>
      <c r="B244" s="6"/>
      <c r="C244" s="14"/>
      <c r="D244" s="14"/>
      <c r="E244" s="5"/>
      <c r="F244"/>
      <c r="G244"/>
    </row>
    <row r="245" spans="1:7" x14ac:dyDescent="0.3">
      <c r="A245" s="6"/>
      <c r="B245" s="6"/>
      <c r="C245" s="14"/>
      <c r="D245" s="14"/>
      <c r="E245" s="5"/>
      <c r="F245"/>
      <c r="G245"/>
    </row>
    <row r="246" spans="1:7" x14ac:dyDescent="0.3">
      <c r="A246" s="6"/>
      <c r="B246" s="6"/>
      <c r="C246" s="14"/>
      <c r="D246" s="14"/>
      <c r="E246" s="5"/>
      <c r="F246"/>
      <c r="G246"/>
    </row>
    <row r="247" spans="1:7" x14ac:dyDescent="0.3">
      <c r="A247" s="6"/>
      <c r="B247" s="6"/>
      <c r="C247" s="14"/>
      <c r="D247" s="14"/>
      <c r="E247" s="5"/>
      <c r="F247"/>
      <c r="G247"/>
    </row>
    <row r="248" spans="1:7" x14ac:dyDescent="0.3">
      <c r="A248" s="6"/>
      <c r="B248" s="6"/>
      <c r="C248" s="14"/>
      <c r="D248" s="14"/>
      <c r="E248" s="5"/>
      <c r="F248"/>
      <c r="G248"/>
    </row>
    <row r="249" spans="1:7" x14ac:dyDescent="0.3">
      <c r="A249" s="6"/>
      <c r="B249" s="6"/>
      <c r="C249" s="14"/>
      <c r="D249" s="14"/>
      <c r="E249" s="5"/>
      <c r="F249"/>
      <c r="G249"/>
    </row>
    <row r="250" spans="1:7" x14ac:dyDescent="0.3">
      <c r="A250" s="6"/>
      <c r="B250" s="6"/>
      <c r="C250" s="14"/>
      <c r="D250" s="14"/>
      <c r="E250" s="5"/>
      <c r="F250"/>
      <c r="G250"/>
    </row>
    <row r="251" spans="1:7" x14ac:dyDescent="0.3">
      <c r="A251" s="6"/>
      <c r="B251" s="6"/>
      <c r="C251" s="14"/>
      <c r="D251" s="14"/>
      <c r="E251" s="5"/>
      <c r="F251"/>
      <c r="G251"/>
    </row>
    <row r="252" spans="1:7" x14ac:dyDescent="0.3">
      <c r="A252" s="6"/>
      <c r="B252" s="6"/>
      <c r="C252" s="14"/>
      <c r="D252" s="14"/>
      <c r="E252" s="5"/>
      <c r="F252"/>
      <c r="G252"/>
    </row>
    <row r="253" spans="1:7" x14ac:dyDescent="0.3">
      <c r="A253" s="6"/>
      <c r="B253" s="6"/>
      <c r="C253" s="14"/>
      <c r="D253" s="14"/>
      <c r="E253" s="5"/>
      <c r="F253"/>
      <c r="G253"/>
    </row>
    <row r="254" spans="1:7" x14ac:dyDescent="0.3">
      <c r="A254" s="6"/>
      <c r="B254" s="6"/>
      <c r="C254" s="14"/>
      <c r="D254" s="14"/>
      <c r="E254" s="5"/>
      <c r="F254"/>
      <c r="G254"/>
    </row>
    <row r="255" spans="1:7" x14ac:dyDescent="0.3">
      <c r="A255" s="6"/>
      <c r="B255" s="6"/>
      <c r="C255" s="14"/>
      <c r="D255" s="14"/>
      <c r="E255" s="5"/>
      <c r="F255"/>
      <c r="G255"/>
    </row>
    <row r="256" spans="1:7" x14ac:dyDescent="0.3">
      <c r="A256" s="6"/>
      <c r="B256" s="6"/>
      <c r="C256" s="14"/>
      <c r="D256" s="14"/>
      <c r="E256" s="5"/>
      <c r="F256"/>
      <c r="G256"/>
    </row>
    <row r="257" spans="1:7" x14ac:dyDescent="0.3">
      <c r="A257" s="6"/>
      <c r="B257" s="6"/>
      <c r="C257" s="14"/>
      <c r="D257" s="14"/>
      <c r="E257" s="5"/>
      <c r="F257"/>
      <c r="G257"/>
    </row>
    <row r="258" spans="1:7" x14ac:dyDescent="0.3">
      <c r="A258" s="6"/>
      <c r="B258" s="6"/>
      <c r="C258" s="14"/>
      <c r="D258" s="14"/>
      <c r="E258" s="5"/>
      <c r="F258"/>
      <c r="G258"/>
    </row>
    <row r="259" spans="1:7" x14ac:dyDescent="0.3">
      <c r="A259" s="6"/>
      <c r="B259" s="6"/>
      <c r="C259" s="14"/>
      <c r="D259" s="14"/>
      <c r="E259" s="5"/>
      <c r="F259"/>
      <c r="G259"/>
    </row>
    <row r="260" spans="1:7" x14ac:dyDescent="0.3">
      <c r="A260" s="6"/>
      <c r="B260" s="6"/>
      <c r="C260" s="14"/>
      <c r="D260" s="14"/>
      <c r="E260" s="5"/>
      <c r="F260"/>
      <c r="G260"/>
    </row>
    <row r="261" spans="1:7" x14ac:dyDescent="0.3">
      <c r="A261" s="6"/>
      <c r="B261" s="6"/>
      <c r="C261" s="14"/>
      <c r="D261" s="14"/>
      <c r="E261" s="5"/>
      <c r="F261"/>
      <c r="G261"/>
    </row>
    <row r="262" spans="1:7" x14ac:dyDescent="0.3">
      <c r="A262" s="6"/>
      <c r="B262" s="6"/>
      <c r="C262" s="14"/>
      <c r="D262" s="14"/>
      <c r="E262" s="5"/>
      <c r="F262"/>
      <c r="G262"/>
    </row>
    <row r="263" spans="1:7" x14ac:dyDescent="0.3">
      <c r="A263" s="6"/>
      <c r="B263" s="6"/>
      <c r="C263" s="14"/>
      <c r="D263" s="14"/>
      <c r="E263" s="5"/>
      <c r="F263"/>
      <c r="G263"/>
    </row>
    <row r="264" spans="1:7" x14ac:dyDescent="0.3">
      <c r="A264" s="6"/>
      <c r="B264" s="6"/>
      <c r="C264" s="14"/>
      <c r="D264" s="14"/>
      <c r="E264" s="5"/>
      <c r="F264"/>
      <c r="G264"/>
    </row>
    <row r="265" spans="1:7" x14ac:dyDescent="0.3">
      <c r="A265" s="6"/>
      <c r="B265" s="6"/>
      <c r="C265" s="14"/>
      <c r="D265" s="14"/>
      <c r="E265" s="5"/>
      <c r="F265"/>
      <c r="G265"/>
    </row>
    <row r="266" spans="1:7" x14ac:dyDescent="0.3">
      <c r="A266" s="6"/>
      <c r="B266" s="6"/>
      <c r="C266" s="14"/>
      <c r="D266" s="14"/>
      <c r="E266" s="5"/>
      <c r="F266"/>
      <c r="G266"/>
    </row>
    <row r="267" spans="1:7" x14ac:dyDescent="0.3">
      <c r="A267" s="6"/>
      <c r="B267" s="6"/>
      <c r="C267" s="14"/>
      <c r="D267" s="14"/>
      <c r="E267" s="5"/>
      <c r="F267"/>
      <c r="G267"/>
    </row>
    <row r="268" spans="1:7" x14ac:dyDescent="0.3">
      <c r="A268" s="6"/>
      <c r="B268" s="6"/>
      <c r="C268" s="14"/>
      <c r="D268" s="14"/>
      <c r="E268" s="5"/>
      <c r="F268"/>
      <c r="G268"/>
    </row>
    <row r="269" spans="1:7" x14ac:dyDescent="0.3">
      <c r="A269" s="6"/>
      <c r="B269" s="6"/>
      <c r="C269" s="14"/>
      <c r="D269" s="14"/>
      <c r="E269" s="5"/>
      <c r="F269"/>
      <c r="G269"/>
    </row>
    <row r="270" spans="1:7" x14ac:dyDescent="0.3">
      <c r="A270" s="6"/>
      <c r="B270" s="6"/>
      <c r="C270" s="14"/>
      <c r="D270" s="14"/>
      <c r="E270" s="5"/>
      <c r="F270"/>
      <c r="G270"/>
    </row>
    <row r="271" spans="1:7" x14ac:dyDescent="0.3">
      <c r="A271" s="6"/>
      <c r="B271" s="6"/>
      <c r="C271" s="14"/>
      <c r="D271" s="14"/>
      <c r="E271" s="5"/>
      <c r="F271"/>
      <c r="G271"/>
    </row>
    <row r="272" spans="1:7" x14ac:dyDescent="0.3">
      <c r="A272" s="6"/>
      <c r="B272" s="6"/>
      <c r="C272" s="14"/>
      <c r="D272" s="14"/>
      <c r="E272" s="5"/>
      <c r="F272"/>
      <c r="G272"/>
    </row>
    <row r="273" spans="1:7" x14ac:dyDescent="0.3">
      <c r="A273" s="6"/>
      <c r="B273" s="6"/>
      <c r="C273" s="14"/>
      <c r="D273" s="14"/>
      <c r="E273" s="5"/>
      <c r="F273"/>
      <c r="G273"/>
    </row>
    <row r="274" spans="1:7" x14ac:dyDescent="0.3">
      <c r="A274" s="6"/>
      <c r="B274" s="6"/>
      <c r="C274" s="14"/>
      <c r="D274" s="14"/>
      <c r="E274" s="5"/>
      <c r="F274"/>
      <c r="G274"/>
    </row>
    <row r="275" spans="1:7" x14ac:dyDescent="0.3">
      <c r="A275" s="6"/>
      <c r="B275" s="6"/>
      <c r="C275" s="14"/>
      <c r="D275" s="14"/>
      <c r="E275" s="5"/>
      <c r="F275"/>
      <c r="G275"/>
    </row>
    <row r="276" spans="1:7" x14ac:dyDescent="0.3">
      <c r="A276" s="6"/>
      <c r="B276" s="6"/>
      <c r="C276" s="14"/>
      <c r="D276" s="14"/>
      <c r="E276" s="5"/>
      <c r="F276"/>
      <c r="G276"/>
    </row>
    <row r="277" spans="1:7" x14ac:dyDescent="0.3">
      <c r="A277" s="6"/>
      <c r="B277" s="6"/>
      <c r="C277" s="14"/>
      <c r="D277" s="14"/>
      <c r="E277" s="5"/>
      <c r="F277"/>
      <c r="G277"/>
    </row>
    <row r="278" spans="1:7" x14ac:dyDescent="0.3">
      <c r="A278" s="6"/>
      <c r="B278" s="6"/>
      <c r="C278" s="14"/>
      <c r="D278" s="14"/>
      <c r="E278" s="5"/>
      <c r="F278"/>
      <c r="G278"/>
    </row>
    <row r="279" spans="1:7" x14ac:dyDescent="0.3">
      <c r="A279" s="6"/>
      <c r="B279" s="6"/>
      <c r="C279" s="14"/>
      <c r="D279" s="14"/>
      <c r="E279" s="5"/>
      <c r="F279"/>
      <c r="G279"/>
    </row>
    <row r="280" spans="1:7" x14ac:dyDescent="0.3">
      <c r="A280" s="6"/>
      <c r="B280" s="6"/>
      <c r="C280" s="14"/>
      <c r="D280" s="14"/>
      <c r="E280" s="5"/>
      <c r="F280"/>
      <c r="G280"/>
    </row>
    <row r="281" spans="1:7" x14ac:dyDescent="0.3">
      <c r="A281" s="6"/>
      <c r="B281" s="6"/>
      <c r="C281" s="14"/>
      <c r="D281" s="14"/>
      <c r="E281" s="5"/>
      <c r="F281"/>
      <c r="G281"/>
    </row>
    <row r="282" spans="1:7" x14ac:dyDescent="0.3">
      <c r="A282" s="6"/>
      <c r="B282" s="6"/>
      <c r="C282" s="14"/>
      <c r="D282" s="14"/>
      <c r="E282" s="5"/>
      <c r="F282"/>
      <c r="G282"/>
    </row>
    <row r="283" spans="1:7" x14ac:dyDescent="0.3">
      <c r="A283" s="6"/>
      <c r="B283" s="6"/>
      <c r="C283" s="14"/>
      <c r="D283" s="14"/>
      <c r="E283" s="5"/>
      <c r="F283"/>
      <c r="G283"/>
    </row>
    <row r="284" spans="1:7" x14ac:dyDescent="0.3">
      <c r="A284" s="6"/>
      <c r="B284" s="6"/>
      <c r="C284" s="14"/>
      <c r="D284" s="14"/>
      <c r="E284" s="5"/>
      <c r="F284"/>
      <c r="G284"/>
    </row>
    <row r="285" spans="1:7" x14ac:dyDescent="0.3">
      <c r="A285" s="6"/>
      <c r="B285" s="6"/>
      <c r="C285" s="14"/>
      <c r="D285" s="14"/>
      <c r="E285" s="5"/>
      <c r="F285"/>
      <c r="G285"/>
    </row>
    <row r="286" spans="1:7" x14ac:dyDescent="0.3">
      <c r="A286" s="6"/>
      <c r="B286" s="6"/>
      <c r="C286" s="14"/>
      <c r="D286" s="14"/>
      <c r="E286" s="5"/>
      <c r="F286"/>
      <c r="G286"/>
    </row>
    <row r="287" spans="1:7" x14ac:dyDescent="0.3">
      <c r="A287" s="6"/>
      <c r="B287" s="6"/>
      <c r="C287" s="14"/>
      <c r="D287" s="14"/>
      <c r="E287" s="5"/>
      <c r="F287"/>
      <c r="G287"/>
    </row>
    <row r="288" spans="1:7" x14ac:dyDescent="0.3">
      <c r="A288" s="6"/>
      <c r="B288" s="6"/>
      <c r="C288" s="14"/>
      <c r="D288" s="14"/>
      <c r="E288" s="5"/>
      <c r="F288"/>
      <c r="G288"/>
    </row>
    <row r="289" spans="1:7" x14ac:dyDescent="0.3">
      <c r="A289" s="6"/>
      <c r="B289" s="6"/>
      <c r="C289" s="14"/>
      <c r="D289" s="14"/>
      <c r="E289" s="5"/>
      <c r="F289"/>
      <c r="G289"/>
    </row>
    <row r="290" spans="1:7" x14ac:dyDescent="0.3">
      <c r="A290" s="6"/>
      <c r="B290" s="6"/>
      <c r="C290" s="14"/>
      <c r="D290" s="14"/>
      <c r="E290" s="5"/>
      <c r="F290"/>
      <c r="G290"/>
    </row>
    <row r="291" spans="1:7" x14ac:dyDescent="0.3">
      <c r="B291" s="6"/>
    </row>
    <row r="292" spans="1:7" x14ac:dyDescent="0.3">
      <c r="B292" s="6"/>
    </row>
    <row r="293" spans="1:7" x14ac:dyDescent="0.3">
      <c r="B293" s="6"/>
    </row>
    <row r="294" spans="1:7" x14ac:dyDescent="0.3">
      <c r="B294" s="6"/>
    </row>
    <row r="295" spans="1:7" x14ac:dyDescent="0.3">
      <c r="B295" s="6"/>
    </row>
    <row r="296" spans="1:7" x14ac:dyDescent="0.3">
      <c r="B296" s="6"/>
    </row>
    <row r="297" spans="1:7" x14ac:dyDescent="0.3">
      <c r="B297" s="6"/>
    </row>
    <row r="298" spans="1:7" x14ac:dyDescent="0.3">
      <c r="B298" s="6"/>
    </row>
    <row r="299" spans="1:7" x14ac:dyDescent="0.3">
      <c r="B299" s="6"/>
    </row>
    <row r="300" spans="1:7" x14ac:dyDescent="0.3">
      <c r="B300" s="6"/>
    </row>
    <row r="301" spans="1:7" x14ac:dyDescent="0.3">
      <c r="B301" s="6"/>
    </row>
    <row r="302" spans="1:7" x14ac:dyDescent="0.3">
      <c r="B302" s="6"/>
    </row>
    <row r="303" spans="1:7" x14ac:dyDescent="0.3">
      <c r="B303" s="6"/>
    </row>
    <row r="304" spans="1:7" x14ac:dyDescent="0.3">
      <c r="B304" s="6"/>
    </row>
    <row r="305" spans="2:2" x14ac:dyDescent="0.3">
      <c r="B305" s="6"/>
    </row>
    <row r="306" spans="2:2" x14ac:dyDescent="0.3">
      <c r="B306" s="6"/>
    </row>
    <row r="307" spans="2:2" x14ac:dyDescent="0.3">
      <c r="B307" s="6"/>
    </row>
    <row r="308" spans="2:2" x14ac:dyDescent="0.3">
      <c r="B308" s="6"/>
    </row>
    <row r="309" spans="2:2" x14ac:dyDescent="0.3">
      <c r="B309" s="6"/>
    </row>
    <row r="310" spans="2:2" x14ac:dyDescent="0.3">
      <c r="B310" s="6"/>
    </row>
    <row r="311" spans="2:2" x14ac:dyDescent="0.3">
      <c r="B311" s="6"/>
    </row>
    <row r="312" spans="2:2" x14ac:dyDescent="0.3">
      <c r="B312" s="6"/>
    </row>
    <row r="313" spans="2:2" x14ac:dyDescent="0.3">
      <c r="B313" s="6"/>
    </row>
    <row r="314" spans="2:2" x14ac:dyDescent="0.3">
      <c r="B314" s="6"/>
    </row>
    <row r="315" spans="2:2" x14ac:dyDescent="0.3">
      <c r="B315" s="6"/>
    </row>
    <row r="316" spans="2:2" x14ac:dyDescent="0.3">
      <c r="B316" s="6"/>
    </row>
    <row r="317" spans="2:2" x14ac:dyDescent="0.3">
      <c r="B317" s="6"/>
    </row>
    <row r="318" spans="2:2" x14ac:dyDescent="0.3">
      <c r="B318" s="6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/>
  </sheetPr>
  <dimension ref="A1:C3"/>
  <sheetViews>
    <sheetView workbookViewId="0">
      <selection activeCell="G19" sqref="G19"/>
    </sheetView>
  </sheetViews>
  <sheetFormatPr baseColWidth="10" defaultColWidth="9.109375" defaultRowHeight="14.4" x14ac:dyDescent="0.3"/>
  <cols>
    <col min="1" max="1" width="13.5546875" style="4" bestFit="1" customWidth="1"/>
    <col min="2" max="2" width="13.109375" bestFit="1" customWidth="1"/>
    <col min="3" max="3" width="10.88671875" bestFit="1" customWidth="1"/>
  </cols>
  <sheetData>
    <row r="1" spans="1:3" ht="18.75" customHeight="1" x14ac:dyDescent="0.3">
      <c r="A1" s="21" t="s">
        <v>0</v>
      </c>
      <c r="B1" s="21" t="s">
        <v>77</v>
      </c>
      <c r="C1" s="21" t="s">
        <v>172</v>
      </c>
    </row>
    <row r="2" spans="1:3" ht="18.75" customHeight="1" x14ac:dyDescent="0.3">
      <c r="A2" t="s">
        <v>38</v>
      </c>
      <c r="B2" t="s">
        <v>39</v>
      </c>
      <c r="C2" t="s">
        <v>39</v>
      </c>
    </row>
    <row r="3" spans="1:3" ht="18.75" customHeight="1" x14ac:dyDescent="0.3">
      <c r="A3" s="2">
        <v>0</v>
      </c>
      <c r="B3" s="3" t="s">
        <v>173</v>
      </c>
      <c r="C3" s="3" t="s">
        <v>174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4"/>
  <sheetViews>
    <sheetView workbookViewId="0">
      <selection activeCell="G4" sqref="G4"/>
    </sheetView>
  </sheetViews>
  <sheetFormatPr baseColWidth="10" defaultRowHeight="14.4" x14ac:dyDescent="0.3"/>
  <cols>
    <col min="4" max="4" width="14.109375" customWidth="1"/>
    <col min="5" max="5" width="14.21875" customWidth="1"/>
  </cols>
  <sheetData>
    <row r="1" spans="1:7" ht="15.75" customHeight="1" x14ac:dyDescent="0.3">
      <c r="A1" s="1" t="s">
        <v>0</v>
      </c>
      <c r="B1" s="1" t="s">
        <v>8</v>
      </c>
      <c r="C1" s="1" t="s">
        <v>175</v>
      </c>
      <c r="D1" s="1" t="s">
        <v>176</v>
      </c>
      <c r="E1" s="1" t="s">
        <v>177</v>
      </c>
      <c r="F1" s="1" t="s">
        <v>178</v>
      </c>
      <c r="G1" s="1" t="s">
        <v>179</v>
      </c>
    </row>
    <row r="2" spans="1:7" ht="15.75" customHeight="1" x14ac:dyDescent="0.3">
      <c r="A2" s="1" t="s">
        <v>38</v>
      </c>
      <c r="B2" s="1" t="s">
        <v>39</v>
      </c>
      <c r="C2" s="1" t="s">
        <v>39</v>
      </c>
      <c r="D2" s="1" t="s">
        <v>69</v>
      </c>
      <c r="E2" s="1" t="s">
        <v>180</v>
      </c>
      <c r="F2" s="1" t="s">
        <v>43</v>
      </c>
      <c r="G2" s="1" t="s">
        <v>38</v>
      </c>
    </row>
    <row r="3" spans="1:7" x14ac:dyDescent="0.3">
      <c r="A3" s="2">
        <v>1</v>
      </c>
      <c r="B3" s="3" t="s">
        <v>181</v>
      </c>
      <c r="C3" s="3" t="s">
        <v>182</v>
      </c>
      <c r="D3" s="2">
        <v>273</v>
      </c>
      <c r="E3" s="3">
        <v>6.5</v>
      </c>
      <c r="F3" s="3">
        <v>500</v>
      </c>
      <c r="G3" s="2">
        <v>2</v>
      </c>
    </row>
    <row r="4" spans="1:7" x14ac:dyDescent="0.3">
      <c r="A4" s="2">
        <v>2</v>
      </c>
      <c r="B4" s="3" t="s">
        <v>183</v>
      </c>
      <c r="C4" s="3" t="s">
        <v>184</v>
      </c>
      <c r="D4" s="2">
        <v>1119</v>
      </c>
      <c r="E4" s="3">
        <v>21.6</v>
      </c>
      <c r="F4" s="3">
        <v>500</v>
      </c>
      <c r="G4" s="2">
        <v>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3"/>
  <sheetViews>
    <sheetView workbookViewId="0">
      <selection activeCell="J16" sqref="J16"/>
    </sheetView>
  </sheetViews>
  <sheetFormatPr baseColWidth="10" defaultRowHeight="14.4" x14ac:dyDescent="0.3"/>
  <sheetData>
    <row r="1" spans="1:9" ht="15.75" customHeight="1" x14ac:dyDescent="0.3">
      <c r="A1" s="1" t="s">
        <v>0</v>
      </c>
      <c r="B1" s="1" t="s">
        <v>8</v>
      </c>
      <c r="C1" s="1" t="s">
        <v>176</v>
      </c>
      <c r="D1" s="1" t="s">
        <v>177</v>
      </c>
      <c r="E1" s="1" t="s">
        <v>178</v>
      </c>
      <c r="F1" s="1" t="s">
        <v>185</v>
      </c>
      <c r="G1" s="1" t="s">
        <v>186</v>
      </c>
      <c r="H1" s="15" t="s">
        <v>187</v>
      </c>
      <c r="I1" s="16" t="s">
        <v>188</v>
      </c>
    </row>
    <row r="2" spans="1:9" ht="15.75" customHeight="1" x14ac:dyDescent="0.3">
      <c r="A2" s="1" t="s">
        <v>38</v>
      </c>
      <c r="B2" s="1" t="s">
        <v>39</v>
      </c>
      <c r="C2" s="1" t="s">
        <v>6</v>
      </c>
      <c r="D2" s="1" t="s">
        <v>189</v>
      </c>
      <c r="E2" s="1" t="s">
        <v>43</v>
      </c>
      <c r="F2" s="1" t="s">
        <v>38</v>
      </c>
      <c r="G2" s="1" t="s">
        <v>51</v>
      </c>
      <c r="H2" s="15" t="s">
        <v>51</v>
      </c>
      <c r="I2" s="16" t="s">
        <v>5</v>
      </c>
    </row>
    <row r="3" spans="1:9" x14ac:dyDescent="0.3">
      <c r="A3" s="2">
        <v>1</v>
      </c>
      <c r="B3" s="3" t="s">
        <v>190</v>
      </c>
      <c r="C3" s="3">
        <f>100.9*1000</f>
        <v>100900</v>
      </c>
      <c r="D3" s="2">
        <f>2.9*H3</f>
        <v>2900</v>
      </c>
      <c r="E3" s="3">
        <v>250</v>
      </c>
      <c r="F3" s="3">
        <v>0.98</v>
      </c>
      <c r="G3" s="2">
        <v>0</v>
      </c>
      <c r="H3" s="17">
        <v>1000</v>
      </c>
      <c r="I3" s="20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3"/>
  <sheetViews>
    <sheetView tabSelected="1" workbookViewId="0">
      <selection activeCell="C18" sqref="C18"/>
    </sheetView>
  </sheetViews>
  <sheetFormatPr baseColWidth="10" defaultRowHeight="14.4" x14ac:dyDescent="0.3"/>
  <cols>
    <col min="1" max="1" width="3.44140625" bestFit="1" customWidth="1"/>
    <col min="2" max="2" width="13" bestFit="1" customWidth="1"/>
    <col min="3" max="3" width="13.88671875" bestFit="1" customWidth="1"/>
    <col min="4" max="4" width="21.88671875" bestFit="1" customWidth="1"/>
    <col min="5" max="5" width="13.5546875" bestFit="1" customWidth="1"/>
  </cols>
  <sheetData>
    <row r="1" spans="1:5" ht="15.75" customHeight="1" x14ac:dyDescent="0.3">
      <c r="A1" s="1" t="s">
        <v>0</v>
      </c>
      <c r="B1" s="1" t="s">
        <v>1</v>
      </c>
      <c r="C1" s="1" t="s">
        <v>2</v>
      </c>
      <c r="D1" s="15" t="s">
        <v>3</v>
      </c>
      <c r="E1" s="16" t="s">
        <v>4</v>
      </c>
    </row>
    <row r="2" spans="1:5" ht="15.75" customHeight="1" x14ac:dyDescent="0.3">
      <c r="A2" s="1" t="s">
        <v>5</v>
      </c>
      <c r="B2" s="12" t="s">
        <v>5</v>
      </c>
      <c r="C2" s="1" t="s">
        <v>6</v>
      </c>
      <c r="D2" s="15" t="s">
        <v>6</v>
      </c>
      <c r="E2" s="16" t="s">
        <v>7</v>
      </c>
    </row>
    <row r="3" spans="1:5" x14ac:dyDescent="0.3">
      <c r="A3" s="17">
        <v>1</v>
      </c>
      <c r="B3" s="11">
        <v>4.2082000000000001E-2</v>
      </c>
      <c r="C3" s="18">
        <v>299000</v>
      </c>
      <c r="D3" s="19">
        <v>0.8</v>
      </c>
      <c r="E3" s="11">
        <v>0.08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13"/>
  <sheetViews>
    <sheetView workbookViewId="0">
      <selection activeCell="H18" sqref="H18"/>
    </sheetView>
  </sheetViews>
  <sheetFormatPr baseColWidth="10" defaultRowHeight="14.4" x14ac:dyDescent="0.3"/>
  <cols>
    <col min="3" max="3" width="12.44140625" style="6" bestFit="1" customWidth="1"/>
  </cols>
  <sheetData>
    <row r="1" spans="1:3" ht="15.75" customHeight="1" x14ac:dyDescent="0.3">
      <c r="A1" s="1" t="s">
        <v>0</v>
      </c>
      <c r="B1" s="1" t="s">
        <v>191</v>
      </c>
      <c r="C1" s="1" t="s">
        <v>192</v>
      </c>
    </row>
    <row r="2" spans="1:3" ht="15.75" customHeight="1" x14ac:dyDescent="0.3">
      <c r="A2" s="1" t="s">
        <v>5</v>
      </c>
      <c r="B2" s="12" t="s">
        <v>5</v>
      </c>
      <c r="C2" s="1" t="s">
        <v>5</v>
      </c>
    </row>
    <row r="3" spans="1:3" x14ac:dyDescent="0.3">
      <c r="A3" s="17">
        <v>1</v>
      </c>
      <c r="B3" s="11">
        <v>1</v>
      </c>
      <c r="C3" s="50">
        <v>1</v>
      </c>
    </row>
    <row r="4" spans="1:3" x14ac:dyDescent="0.3">
      <c r="A4" s="17">
        <v>2</v>
      </c>
      <c r="B4" s="11">
        <v>2</v>
      </c>
      <c r="C4" s="50">
        <v>5</v>
      </c>
    </row>
    <row r="5" spans="1:3" x14ac:dyDescent="0.3">
      <c r="A5" s="17">
        <v>3</v>
      </c>
      <c r="B5" s="11">
        <v>3</v>
      </c>
      <c r="C5" s="50">
        <v>9</v>
      </c>
    </row>
    <row r="6" spans="1:3" x14ac:dyDescent="0.3">
      <c r="A6" s="17">
        <v>4</v>
      </c>
      <c r="B6" s="11">
        <v>4</v>
      </c>
      <c r="C6" s="50">
        <v>12</v>
      </c>
    </row>
    <row r="7" spans="1:3" x14ac:dyDescent="0.3">
      <c r="A7" s="17">
        <v>5</v>
      </c>
      <c r="B7" s="11">
        <v>5</v>
      </c>
      <c r="C7" s="50">
        <v>12</v>
      </c>
    </row>
    <row r="8" spans="1:3" x14ac:dyDescent="0.3">
      <c r="A8" s="17">
        <v>6</v>
      </c>
      <c r="B8" s="11">
        <v>6</v>
      </c>
      <c r="C8" s="50">
        <v>12</v>
      </c>
    </row>
    <row r="9" spans="1:3" x14ac:dyDescent="0.3">
      <c r="A9" s="17">
        <v>7</v>
      </c>
      <c r="B9" s="11">
        <v>7</v>
      </c>
      <c r="C9" s="50">
        <v>12</v>
      </c>
    </row>
    <row r="10" spans="1:3" x14ac:dyDescent="0.3">
      <c r="A10" s="17">
        <v>8</v>
      </c>
      <c r="B10" s="11">
        <v>8</v>
      </c>
      <c r="C10" s="50">
        <v>11</v>
      </c>
    </row>
    <row r="11" spans="1:3" x14ac:dyDescent="0.3">
      <c r="A11" s="17">
        <v>9</v>
      </c>
      <c r="B11" s="11">
        <v>9</v>
      </c>
      <c r="C11" s="50">
        <v>9</v>
      </c>
    </row>
    <row r="12" spans="1:3" x14ac:dyDescent="0.3">
      <c r="A12" s="17">
        <v>10</v>
      </c>
      <c r="B12" s="11">
        <v>10</v>
      </c>
      <c r="C12" s="50">
        <v>4</v>
      </c>
    </row>
    <row r="13" spans="1:3" x14ac:dyDescent="0.3">
      <c r="A13" s="17">
        <v>11</v>
      </c>
      <c r="B13" s="11">
        <v>11</v>
      </c>
      <c r="C13" s="50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LHD</vt:lpstr>
      <vt:lpstr>stations</vt:lpstr>
      <vt:lpstr>chargers</vt:lpstr>
      <vt:lpstr>extraction_nodes</vt:lpstr>
      <vt:lpstr>discharge_nodes</vt:lpstr>
      <vt:lpstr>Generators</vt:lpstr>
      <vt:lpstr>Storage</vt:lpstr>
      <vt:lpstr>BatteryDegradation</vt:lpstr>
      <vt:lpstr>FleetByYear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Lira</dc:creator>
  <cp:lastModifiedBy>Agustín Alejandro Vilches Baeza (agustin.vilches)</cp:lastModifiedBy>
  <dcterms:created xsi:type="dcterms:W3CDTF">2024-08-16T21:56:15Z</dcterms:created>
  <dcterms:modified xsi:type="dcterms:W3CDTF">2026-09-16T19:29:33Z</dcterms:modified>
</cp:coreProperties>
</file>