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Resultados_finales_tesis\Mina_modelo\Produccion_base\zona_norte\2C\P_red_gen_bat\"/>
    </mc:Choice>
  </mc:AlternateContent>
  <xr:revisionPtr revIDLastSave="0" documentId="13_ncr:1_{C660C8AF-7E00-4398-B068-771B2D76A807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LHD" sheetId="1" r:id="rId1"/>
    <sheet name="stations" sheetId="2" r:id="rId2"/>
    <sheet name="chargers" sheetId="3" r:id="rId3"/>
    <sheet name="extraction_nodes" sheetId="4" r:id="rId4"/>
    <sheet name="discharge_nodes" sheetId="5" r:id="rId5"/>
    <sheet name="Generators" sheetId="6" r:id="rId6"/>
    <sheet name="Storage" sheetId="7" r:id="rId7"/>
    <sheet name="BatteryDegradation" sheetId="8" r:id="rId8"/>
    <sheet name="FleetByYea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/>
</calcChain>
</file>

<file path=xl/sharedStrings.xml><?xml version="1.0" encoding="utf-8"?>
<sst xmlns="http://schemas.openxmlformats.org/spreadsheetml/2006/main" count="307" uniqueCount="146">
  <si>
    <t>id</t>
  </si>
  <si>
    <t>year</t>
  </si>
  <si>
    <t>n_active_lhd</t>
  </si>
  <si>
    <t>int</t>
  </si>
  <si>
    <t>name</t>
  </si>
  <si>
    <t>energy_cost</t>
  </si>
  <si>
    <t>technology_type</t>
  </si>
  <si>
    <t>operation_mode</t>
  </si>
  <si>
    <t>model</t>
  </si>
  <si>
    <t>load_capacity</t>
  </si>
  <si>
    <t>filling_factor</t>
  </si>
  <si>
    <t>loading_time</t>
  </si>
  <si>
    <t>discharging_time</t>
  </si>
  <si>
    <t>weight</t>
  </si>
  <si>
    <t>engine_power</t>
  </si>
  <si>
    <t>frontal_area</t>
  </si>
  <si>
    <t>tank_capacity</t>
  </si>
  <si>
    <t>min_capacity</t>
  </si>
  <si>
    <t>fuel_consumption</t>
  </si>
  <si>
    <t>refueling_time</t>
  </si>
  <si>
    <t>engine_efficiency</t>
  </si>
  <si>
    <t>transmission_efficiency</t>
  </si>
  <si>
    <t>speed</t>
  </si>
  <si>
    <t>acceleration</t>
  </si>
  <si>
    <t>hydraulic_power</t>
  </si>
  <si>
    <t>aux_power</t>
  </si>
  <si>
    <t>charge_power</t>
  </si>
  <si>
    <t>battery_capacity</t>
  </si>
  <si>
    <t>min_soc</t>
  </si>
  <si>
    <t>charge_efficiency</t>
  </si>
  <si>
    <t>discharge_efficiency</t>
  </si>
  <si>
    <t>swap_time</t>
  </si>
  <si>
    <t>integer</t>
  </si>
  <si>
    <t>string</t>
  </si>
  <si>
    <t>ton</t>
  </si>
  <si>
    <t>p.u.</t>
  </si>
  <si>
    <t>sec</t>
  </si>
  <si>
    <t>kW</t>
  </si>
  <si>
    <t>m2</t>
  </si>
  <si>
    <t>L</t>
  </si>
  <si>
    <t>float</t>
  </si>
  <si>
    <t>g/kWh</t>
  </si>
  <si>
    <t>min</t>
  </si>
  <si>
    <t>km/h</t>
  </si>
  <si>
    <t>m/s^2</t>
  </si>
  <si>
    <t>kWh</t>
  </si>
  <si>
    <t>LH518B_1</t>
  </si>
  <si>
    <t>Profile_fixed</t>
  </si>
  <si>
    <t>electric</t>
  </si>
  <si>
    <t>Efficient</t>
  </si>
  <si>
    <t xml:space="preserve"> LH518ib</t>
  </si>
  <si>
    <t>LH518B_2</t>
  </si>
  <si>
    <t>LH518B_3</t>
  </si>
  <si>
    <t>LH518B_4</t>
  </si>
  <si>
    <t>station_name</t>
  </si>
  <si>
    <t>c_fixed</t>
  </si>
  <si>
    <t>c_bays</t>
  </si>
  <si>
    <t>c_charger_space</t>
  </si>
  <si>
    <t>max_bays</t>
  </si>
  <si>
    <t>max_chargers_per_bay</t>
  </si>
  <si>
    <t>p_max_ssee</t>
  </si>
  <si>
    <t>c_inv_ssee</t>
  </si>
  <si>
    <t>USD</t>
  </si>
  <si>
    <t>USD/kW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</si>
  <si>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</si>
  <si>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</si>
  <si>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</si>
  <si>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</si>
  <si>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</si>
  <si>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</si>
  <si>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</si>
  <si>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node_name</t>
  </si>
  <si>
    <t>street</t>
  </si>
  <si>
    <t>discharge_node</t>
  </si>
  <si>
    <t>distance_to_d_node_return</t>
  </si>
  <si>
    <t>distance_to_d_node_outbound</t>
  </si>
  <si>
    <t>quota</t>
  </si>
  <si>
    <t>tilt</t>
  </si>
  <si>
    <t>m</t>
  </si>
  <si>
    <t>deg</t>
  </si>
  <si>
    <t>PEX_1</t>
  </si>
  <si>
    <t>street_1</t>
  </si>
  <si>
    <t>d_node_0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</si>
  <si>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</si>
  <si>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</si>
  <si>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</si>
  <si>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</si>
  <si>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</si>
  <si>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</si>
  <si>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</si>
  <si>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</si>
  <si>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</si>
  <si>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</si>
  <si>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street_2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</si>
  <si>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</si>
  <si>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</si>
  <si>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</si>
  <si>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</si>
  <si>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</si>
  <si>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</si>
  <si>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</si>
  <si>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</si>
  <si>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</si>
  <si>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</si>
  <si>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street_3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</si>
  <si>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</si>
  <si>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</si>
  <si>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</si>
  <si>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</si>
  <si>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</si>
  <si>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</si>
  <si>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</si>
  <si>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</si>
  <si>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</si>
  <si>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</si>
  <si>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street_4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</si>
  <si>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</si>
  <si>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</si>
  <si>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</si>
  <si>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</si>
  <si>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</si>
  <si>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</si>
  <si>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</si>
  <si>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</si>
  <si>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PEX_40</t>
  </si>
  <si>
    <t>type</t>
  </si>
  <si>
    <t>c_inv</t>
  </si>
  <si>
    <t>c_op</t>
  </si>
  <si>
    <t>p_max</t>
  </si>
  <si>
    <t>g_max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</si>
  <si>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</si>
  <si>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</si>
  <si>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</si>
  <si>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</si>
  <si>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</si>
  <si>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</si>
  <si>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</si>
  <si>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</si>
  <si>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h_max</t>
  </si>
  <si>
    <t>USD/año/kW</t>
  </si>
  <si>
    <t>Bess</t>
  </si>
  <si>
    <t>gamma_coef</t>
  </si>
  <si>
    <t>c_bat_replace</t>
  </si>
  <si>
    <t>min_capacity_fraction</t>
  </si>
  <si>
    <t>discount_rate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</si>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</sst>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4" fillId="2" borderId="10" xfId="0" applyNumberFormat="1" applyFont="1" applyFill="1" applyBorder="1" applyAlignment="1">
      <alignment horizontal="left"/>
    </xf>
    <xf numFmtId="0" fontId="0" fillId="0" borderId="8" xfId="0" applyBorder="1"/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4" fillId="2" borderId="13" xfId="0" applyNumberFormat="1" applyFont="1" applyFill="1" applyBorder="1" applyAlignment="1">
      <alignment horizontal="left"/>
    </xf>
    <xf numFmtId="3" fontId="4" fillId="2" borderId="8" xfId="0" applyNumberFormat="1" applyFont="1" applyFill="1" applyBorder="1" applyAlignment="1">
      <alignment horizontal="left"/>
    </xf>
    <xf numFmtId="3" fontId="4" fillId="2" borderId="12" xfId="0" applyNumberFormat="1" applyFont="1" applyFill="1" applyBorder="1" applyAlignment="1">
      <alignment horizontal="left"/>
    </xf>
    <xf numFmtId="0" fontId="0" fillId="0" borderId="14" xfId="0" applyBorder="1"/>
    <xf numFmtId="0" fontId="0" fillId="0" borderId="15" xfId="0" applyBorder="1"/>
    <xf numFmtId="3" fontId="1" fillId="2" borderId="9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3" fontId="2" fillId="0" borderId="9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3" fontId="1" fillId="2" borderId="10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3" fontId="2" fillId="0" borderId="8" xfId="0" applyNumberFormat="1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6"/>
  <sheetViews>
    <sheetView zoomScaleNormal="100" workbookViewId="0">
      <selection activeCell="D19" sqref="D19"/>
    </sheetView>
  </sheetViews>
  <sheetFormatPr baseColWidth="10" defaultColWidth="9.33203125" defaultRowHeight="14.4" x14ac:dyDescent="0.3"/>
  <cols>
    <col min="1" max="1" width="7.44140625" style="20" bestFit="1" customWidth="1"/>
    <col min="2" max="2" width="9.6640625" bestFit="1" customWidth="1"/>
    <col min="3" max="3" width="23.6640625" bestFit="1" customWidth="1"/>
    <col min="4" max="5" width="15.6640625" bestFit="1" customWidth="1"/>
    <col min="6" max="6" width="7.5546875" bestFit="1" customWidth="1"/>
    <col min="7" max="7" width="13.33203125" style="20" bestFit="1" customWidth="1"/>
    <col min="8" max="8" width="12.33203125" style="20" bestFit="1" customWidth="1"/>
    <col min="9" max="9" width="12.5546875" style="20" bestFit="1" customWidth="1"/>
    <col min="10" max="10" width="16.44140625" style="20" bestFit="1" customWidth="1"/>
    <col min="11" max="11" width="7" style="20" bestFit="1" customWidth="1"/>
    <col min="12" max="12" width="13.5546875" style="20" bestFit="1" customWidth="1"/>
    <col min="13" max="13" width="11.6640625" style="21" bestFit="1" customWidth="1"/>
    <col min="14" max="14" width="13.33203125" style="20" bestFit="1" customWidth="1"/>
    <col min="15" max="15" width="15" style="20" customWidth="1"/>
    <col min="16" max="16" width="17.33203125" style="20" bestFit="1" customWidth="1"/>
    <col min="17" max="17" width="9.5546875" style="21" bestFit="1" customWidth="1"/>
    <col min="18" max="18" width="18" style="21" bestFit="1" customWidth="1"/>
    <col min="19" max="19" width="20.6640625" style="21" bestFit="1" customWidth="1"/>
    <col min="20" max="22" width="20.6640625" style="21" customWidth="1"/>
    <col min="23" max="23" width="18.44140625" style="21" bestFit="1" customWidth="1"/>
    <col min="24" max="24" width="20.33203125" style="21" bestFit="1" customWidth="1"/>
    <col min="25" max="25" width="13.5546875" style="21" bestFit="1" customWidth="1"/>
    <col min="26" max="26" width="11.33203125" style="21" bestFit="1" customWidth="1"/>
    <col min="27" max="27" width="14.5546875" bestFit="1" customWidth="1"/>
  </cols>
  <sheetData>
    <row r="1" spans="1:29" ht="18.75" customHeight="1" x14ac:dyDescent="0.3">
      <c r="A1" s="19" t="s">
        <v>0</v>
      </c>
      <c r="B1" s="19" t="s">
        <v>4</v>
      </c>
      <c r="C1" s="19" t="s">
        <v>5</v>
      </c>
      <c r="D1" s="19" t="s">
        <v>6</v>
      </c>
      <c r="E1" s="22" t="s">
        <v>7</v>
      </c>
      <c r="F1" s="19" t="s">
        <v>8</v>
      </c>
      <c r="G1" s="19" t="s">
        <v>9</v>
      </c>
      <c r="H1" s="19" t="s">
        <v>10</v>
      </c>
      <c r="I1" s="19" t="s">
        <v>11</v>
      </c>
      <c r="J1" s="19" t="s">
        <v>12</v>
      </c>
      <c r="K1" s="19" t="s">
        <v>13</v>
      </c>
      <c r="L1" s="19" t="s">
        <v>14</v>
      </c>
      <c r="M1" s="22" t="s">
        <v>15</v>
      </c>
      <c r="N1" s="19" t="s">
        <v>16</v>
      </c>
      <c r="O1" s="19" t="s">
        <v>17</v>
      </c>
      <c r="P1" s="19" t="s">
        <v>18</v>
      </c>
      <c r="Q1" s="19" t="s">
        <v>19</v>
      </c>
      <c r="R1" s="19" t="s">
        <v>20</v>
      </c>
      <c r="S1" s="19" t="s">
        <v>21</v>
      </c>
      <c r="T1" s="19" t="s">
        <v>22</v>
      </c>
      <c r="U1" s="22" t="s">
        <v>23</v>
      </c>
      <c r="V1" s="19" t="s">
        <v>24</v>
      </c>
      <c r="W1" s="19" t="s">
        <v>25</v>
      </c>
      <c r="X1" s="19" t="s">
        <v>26</v>
      </c>
      <c r="Y1" s="19" t="s">
        <v>27</v>
      </c>
      <c r="Z1" s="19" t="s">
        <v>28</v>
      </c>
      <c r="AA1" s="19" t="s">
        <v>29</v>
      </c>
      <c r="AB1" s="19" t="s">
        <v>30</v>
      </c>
      <c r="AC1" s="22" t="s">
        <v>31</v>
      </c>
    </row>
    <row r="2" spans="1:29" ht="18.75" customHeight="1" x14ac:dyDescent="0.3">
      <c r="A2" s="22" t="s">
        <v>32</v>
      </c>
      <c r="B2" s="22" t="s">
        <v>33</v>
      </c>
      <c r="C2" s="22" t="s">
        <v>33</v>
      </c>
      <c r="D2" s="26" t="s">
        <v>33</v>
      </c>
      <c r="E2" s="27" t="s">
        <v>33</v>
      </c>
      <c r="F2" s="28" t="s">
        <v>33</v>
      </c>
      <c r="G2" s="22" t="s">
        <v>34</v>
      </c>
      <c r="H2" s="22" t="s">
        <v>35</v>
      </c>
      <c r="I2" s="22" t="s">
        <v>36</v>
      </c>
      <c r="J2" s="22" t="s">
        <v>36</v>
      </c>
      <c r="K2" s="22" t="s">
        <v>34</v>
      </c>
      <c r="L2" s="26" t="s">
        <v>37</v>
      </c>
      <c r="M2" s="27" t="s">
        <v>38</v>
      </c>
      <c r="N2" s="28" t="s">
        <v>39</v>
      </c>
      <c r="O2" s="22" t="s">
        <v>40</v>
      </c>
      <c r="P2" s="22" t="s">
        <v>41</v>
      </c>
      <c r="Q2" s="22" t="s">
        <v>42</v>
      </c>
      <c r="R2" s="22" t="s">
        <v>40</v>
      </c>
      <c r="S2" s="22" t="s">
        <v>40</v>
      </c>
      <c r="T2" s="26" t="s">
        <v>43</v>
      </c>
      <c r="U2" s="27" t="s">
        <v>44</v>
      </c>
      <c r="V2" s="28" t="s">
        <v>37</v>
      </c>
      <c r="W2" s="22" t="s">
        <v>37</v>
      </c>
      <c r="X2" s="22" t="s">
        <v>37</v>
      </c>
      <c r="Y2" s="22" t="s">
        <v>45</v>
      </c>
      <c r="Z2" s="22" t="s">
        <v>40</v>
      </c>
      <c r="AA2" s="22" t="s">
        <v>40</v>
      </c>
      <c r="AB2" s="26" t="s">
        <v>40</v>
      </c>
      <c r="AC2" s="27" t="s">
        <v>42</v>
      </c>
    </row>
    <row r="3" spans="1:29" x14ac:dyDescent="0.3">
      <c r="A3" s="23">
        <v>1</v>
      </c>
      <c r="B3" s="23" t="s">
        <v>46</v>
      </c>
      <c r="C3" s="23" t="s">
        <v>47</v>
      </c>
      <c r="D3" s="23" t="s">
        <v>48</v>
      </c>
      <c r="E3" s="23" t="s">
        <v>49</v>
      </c>
      <c r="F3" s="23" t="s">
        <v>50</v>
      </c>
      <c r="G3" s="23">
        <v>18</v>
      </c>
      <c r="H3" s="23">
        <v>0.84</v>
      </c>
      <c r="I3" s="23">
        <v>20</v>
      </c>
      <c r="J3" s="23">
        <v>20</v>
      </c>
      <c r="K3" s="23">
        <v>54.8</v>
      </c>
      <c r="L3" s="23">
        <v>540</v>
      </c>
      <c r="M3" s="23">
        <v>8.73</v>
      </c>
      <c r="N3" s="23">
        <v>-1</v>
      </c>
      <c r="O3" s="23">
        <v>-1</v>
      </c>
      <c r="P3" s="23">
        <v>-1</v>
      </c>
      <c r="Q3" s="23">
        <v>-1</v>
      </c>
      <c r="R3" s="23">
        <v>0.95</v>
      </c>
      <c r="S3" s="23">
        <v>0.92</v>
      </c>
      <c r="T3" s="23">
        <v>15</v>
      </c>
      <c r="U3" s="23">
        <v>0.47</v>
      </c>
      <c r="V3" s="23">
        <v>160</v>
      </c>
      <c r="W3" s="23">
        <v>4</v>
      </c>
      <c r="X3" s="23">
        <v>320</v>
      </c>
      <c r="Y3" s="23">
        <v>482</v>
      </c>
      <c r="Z3" s="23">
        <v>0.2</v>
      </c>
      <c r="AA3" s="23">
        <v>0.95</v>
      </c>
      <c r="AB3" s="23">
        <v>0.95</v>
      </c>
      <c r="AC3" s="23">
        <v>8</v>
      </c>
    </row>
    <row r="4" spans="1:29" x14ac:dyDescent="0.3">
      <c r="A4" s="23">
        <v>2</v>
      </c>
      <c r="B4" s="23" t="s">
        <v>51</v>
      </c>
      <c r="C4" s="23" t="s">
        <v>47</v>
      </c>
      <c r="D4" s="23" t="s">
        <v>48</v>
      </c>
      <c r="E4" s="23" t="s">
        <v>49</v>
      </c>
      <c r="F4" s="23" t="s">
        <v>50</v>
      </c>
      <c r="G4" s="23">
        <v>18</v>
      </c>
      <c r="H4" s="23">
        <v>0.84</v>
      </c>
      <c r="I4" s="23">
        <v>20</v>
      </c>
      <c r="J4" s="23">
        <v>20</v>
      </c>
      <c r="K4" s="23">
        <v>54.8</v>
      </c>
      <c r="L4" s="23">
        <v>540</v>
      </c>
      <c r="M4" s="23">
        <v>8.73</v>
      </c>
      <c r="N4" s="23">
        <v>-1</v>
      </c>
      <c r="O4" s="23">
        <v>-1</v>
      </c>
      <c r="P4" s="23">
        <v>-1</v>
      </c>
      <c r="Q4" s="23">
        <v>-1</v>
      </c>
      <c r="R4" s="23">
        <v>0.95</v>
      </c>
      <c r="S4" s="23">
        <v>0.92</v>
      </c>
      <c r="T4" s="23">
        <v>15</v>
      </c>
      <c r="U4" s="23">
        <v>0.47</v>
      </c>
      <c r="V4" s="23">
        <v>160</v>
      </c>
      <c r="W4" s="23">
        <v>4</v>
      </c>
      <c r="X4" s="23">
        <v>320</v>
      </c>
      <c r="Y4" s="23">
        <v>482</v>
      </c>
      <c r="Z4" s="23">
        <v>0.2</v>
      </c>
      <c r="AA4" s="23">
        <v>0.95</v>
      </c>
      <c r="AB4" s="23">
        <v>0.95</v>
      </c>
      <c r="AC4" s="23">
        <v>8</v>
      </c>
    </row>
    <row r="5" spans="1:29" x14ac:dyDescent="0.3">
      <c r="A5" s="23">
        <v>3</v>
      </c>
      <c r="B5" s="23" t="s">
        <v>52</v>
      </c>
      <c r="C5" s="23" t="s">
        <v>47</v>
      </c>
      <c r="D5" s="23" t="s">
        <v>48</v>
      </c>
      <c r="E5" s="23" t="s">
        <v>49</v>
      </c>
      <c r="F5" s="23" t="s">
        <v>50</v>
      </c>
      <c r="G5" s="23">
        <v>18</v>
      </c>
      <c r="H5" s="23">
        <v>0.84</v>
      </c>
      <c r="I5" s="23">
        <v>20</v>
      </c>
      <c r="J5" s="23">
        <v>20</v>
      </c>
      <c r="K5" s="23">
        <v>54.8</v>
      </c>
      <c r="L5" s="23">
        <v>540</v>
      </c>
      <c r="M5" s="23">
        <v>8.73</v>
      </c>
      <c r="N5" s="23">
        <v>-1</v>
      </c>
      <c r="O5" s="23">
        <v>-1</v>
      </c>
      <c r="P5" s="23">
        <v>-1</v>
      </c>
      <c r="Q5" s="23">
        <v>-1</v>
      </c>
      <c r="R5" s="23">
        <v>0.95</v>
      </c>
      <c r="S5" s="23">
        <v>0.92</v>
      </c>
      <c r="T5" s="23">
        <v>15</v>
      </c>
      <c r="U5" s="23">
        <v>0.47</v>
      </c>
      <c r="V5" s="23">
        <v>160</v>
      </c>
      <c r="W5" s="23">
        <v>4</v>
      </c>
      <c r="X5" s="23">
        <v>320</v>
      </c>
      <c r="Y5" s="23">
        <v>482</v>
      </c>
      <c r="Z5" s="23">
        <v>0.2</v>
      </c>
      <c r="AA5" s="23">
        <v>0.95</v>
      </c>
      <c r="AB5" s="23">
        <v>0.95</v>
      </c>
      <c r="AC5" s="23">
        <v>8</v>
      </c>
    </row>
    <row r="6" spans="1:29" x14ac:dyDescent="0.3">
      <c r="A6" s="23">
        <v>4</v>
      </c>
      <c r="B6" s="23" t="s">
        <v>53</v>
      </c>
      <c r="C6" s="23" t="s">
        <v>47</v>
      </c>
      <c r="D6" s="23" t="s">
        <v>48</v>
      </c>
      <c r="E6" s="23" t="s">
        <v>49</v>
      </c>
      <c r="F6" s="23" t="s">
        <v>50</v>
      </c>
      <c r="G6" s="23">
        <v>18</v>
      </c>
      <c r="H6" s="23">
        <v>0.84</v>
      </c>
      <c r="I6" s="23">
        <v>20</v>
      </c>
      <c r="J6" s="23">
        <v>20</v>
      </c>
      <c r="K6" s="23">
        <v>54.8</v>
      </c>
      <c r="L6" s="23">
        <v>540</v>
      </c>
      <c r="M6" s="23">
        <v>8.73</v>
      </c>
      <c r="N6" s="23">
        <v>-1</v>
      </c>
      <c r="O6" s="23">
        <v>-1</v>
      </c>
      <c r="P6" s="23">
        <v>-1</v>
      </c>
      <c r="Q6" s="23">
        <v>-1</v>
      </c>
      <c r="R6" s="23">
        <v>0.95</v>
      </c>
      <c r="S6" s="23">
        <v>0.92</v>
      </c>
      <c r="T6" s="23">
        <v>15</v>
      </c>
      <c r="U6" s="23">
        <v>0.47</v>
      </c>
      <c r="V6" s="23">
        <v>160</v>
      </c>
      <c r="W6" s="23">
        <v>4</v>
      </c>
      <c r="X6" s="23">
        <v>320</v>
      </c>
      <c r="Y6" s="23">
        <v>482</v>
      </c>
      <c r="Z6" s="23">
        <v>0.2</v>
      </c>
      <c r="AA6" s="23">
        <v>0.95</v>
      </c>
      <c r="AB6" s="23">
        <v>0.95</v>
      </c>
      <c r="AC6" s="2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I4" sqref="I4"/>
    </sheetView>
  </sheetViews>
  <sheetFormatPr baseColWidth="10" defaultRowHeight="14.4" x14ac:dyDescent="0.3"/>
  <cols>
    <col min="2" max="2" width="12.6640625" bestFit="1" customWidth="1"/>
    <col min="3" max="3" width="11.33203125" bestFit="1" customWidth="1"/>
    <col min="5" max="5" width="15.33203125" bestFit="1" customWidth="1"/>
  </cols>
  <sheetData>
    <row r="1" spans="1:9" x14ac:dyDescent="0.3">
      <c r="A1" s="19" t="s">
        <v>0</v>
      </c>
      <c r="B1" s="19" t="s">
        <v>54</v>
      </c>
      <c r="C1" s="19" t="s">
        <v>55</v>
      </c>
      <c r="D1" s="19" t="s">
        <v>56</v>
      </c>
      <c r="E1" s="22" t="s">
        <v>57</v>
      </c>
      <c r="F1" s="19" t="s">
        <v>58</v>
      </c>
      <c r="G1" s="19" t="s">
        <v>59</v>
      </c>
      <c r="H1" s="19" t="s">
        <v>60</v>
      </c>
      <c r="I1" s="19" t="s">
        <v>61</v>
      </c>
    </row>
    <row r="2" spans="1:9" x14ac:dyDescent="0.3">
      <c r="A2" s="22" t="s">
        <v>32</v>
      </c>
      <c r="B2" s="22" t="s">
        <v>33</v>
      </c>
      <c r="C2" s="22" t="s">
        <v>62</v>
      </c>
      <c r="D2" s="26" t="s">
        <v>62</v>
      </c>
      <c r="E2" s="27" t="s">
        <v>62</v>
      </c>
      <c r="F2" s="28" t="s">
        <v>3</v>
      </c>
      <c r="G2" s="22" t="s">
        <v>37</v>
      </c>
      <c r="H2" s="22" t="s">
        <v>37</v>
      </c>
      <c r="I2" s="22" t="s">
        <v>63</v>
      </c>
    </row>
    <row r="3" spans="1:9" x14ac:dyDescent="0.3">
      <c r="A3" s="23">
        <v>1</v>
      </c>
      <c r="B3" s="23" t="s">
        <v>64</v>
      </c>
      <c r="C3" s="23">
        <v>219495</v>
      </c>
      <c r="D3" s="29">
        <v>234851</v>
      </c>
      <c r="E3" s="23">
        <v>35228</v>
      </c>
      <c r="F3" s="30">
        <v>4</v>
      </c>
      <c r="G3" s="23">
        <v>1</v>
      </c>
      <c r="H3" s="23">
        <v>2400</v>
      </c>
      <c r="I3" s="23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C4" sqref="C4"/>
    </sheetView>
  </sheetViews>
  <sheetFormatPr baseColWidth="10" defaultRowHeight="14.4" x14ac:dyDescent="0.3"/>
  <cols>
    <col min="2" max="2" width="13.33203125" bestFit="1" customWidth="1"/>
    <col min="4" max="4" width="13.33203125" bestFit="1" customWidth="1"/>
    <col min="5" max="5" width="14.6640625" bestFit="1" customWidth="1"/>
  </cols>
  <sheetData>
    <row r="1" spans="1:6" x14ac:dyDescent="0.3">
      <c r="A1" s="19" t="s">
        <v>0</v>
      </c>
      <c r="B1" s="19" t="s">
        <v>65</v>
      </c>
      <c r="C1" s="19" t="s">
        <v>66</v>
      </c>
      <c r="D1" s="19" t="s">
        <v>67</v>
      </c>
      <c r="E1" s="19" t="s">
        <v>68</v>
      </c>
      <c r="F1" s="19" t="s">
        <v>69</v>
      </c>
    </row>
    <row r="2" spans="1:6" x14ac:dyDescent="0.3">
      <c r="A2" s="22" t="s">
        <v>32</v>
      </c>
      <c r="B2" s="22" t="s">
        <v>33</v>
      </c>
      <c r="C2" s="22" t="s">
        <v>62</v>
      </c>
      <c r="D2" s="22" t="s">
        <v>37</v>
      </c>
      <c r="E2" s="22" t="s">
        <v>3</v>
      </c>
      <c r="F2" s="22" t="s">
        <v>37</v>
      </c>
    </row>
    <row r="3" spans="1:6" x14ac:dyDescent="0.3">
      <c r="A3" s="23">
        <v>1</v>
      </c>
      <c r="B3" s="23" t="s">
        <v>70</v>
      </c>
      <c r="C3" s="38">
        <f>2*241000*2</f>
        <v>964000</v>
      </c>
      <c r="D3" s="38">
        <f>241*2*2</f>
        <v>964</v>
      </c>
      <c r="E3" s="23">
        <v>1</v>
      </c>
      <c r="F3" s="23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42"/>
  <sheetViews>
    <sheetView zoomScale="85" zoomScaleNormal="85" workbookViewId="0">
      <selection sqref="A1:H2"/>
    </sheetView>
  </sheetViews>
  <sheetFormatPr baseColWidth="10" defaultColWidth="9.33203125" defaultRowHeight="14.4" x14ac:dyDescent="0.3"/>
  <cols>
    <col min="1" max="1" width="13.5546875" style="17" bestFit="1" customWidth="1"/>
    <col min="2" max="3" width="13.5546875" style="18" bestFit="1" customWidth="1"/>
    <col min="4" max="4" width="15.44140625" style="18" bestFit="1" customWidth="1"/>
    <col min="5" max="6" width="29.33203125" style="17" bestFit="1" customWidth="1"/>
    <col min="7" max="7" width="13.5546875" style="17" bestFit="1" customWidth="1"/>
  </cols>
  <sheetData>
    <row r="1" spans="1:8" ht="18.75" customHeight="1" thickBot="1" x14ac:dyDescent="0.35">
      <c r="A1" s="6" t="s">
        <v>0</v>
      </c>
      <c r="B1" s="7" t="s">
        <v>71</v>
      </c>
      <c r="C1" s="8" t="s">
        <v>72</v>
      </c>
      <c r="D1" s="8" t="s">
        <v>73</v>
      </c>
      <c r="E1" s="9" t="s">
        <v>74</v>
      </c>
      <c r="F1" s="9" t="s">
        <v>75</v>
      </c>
      <c r="G1" s="10" t="s">
        <v>76</v>
      </c>
      <c r="H1" s="1" t="s">
        <v>77</v>
      </c>
    </row>
    <row r="2" spans="1:8" ht="18.75" customHeight="1" x14ac:dyDescent="0.3">
      <c r="A2" s="6" t="s">
        <v>32</v>
      </c>
      <c r="B2" s="11" t="s">
        <v>33</v>
      </c>
      <c r="C2" s="11" t="s">
        <v>33</v>
      </c>
      <c r="D2" s="12" t="s">
        <v>33</v>
      </c>
      <c r="E2" s="13" t="s">
        <v>78</v>
      </c>
      <c r="F2" s="13" t="s">
        <v>78</v>
      </c>
      <c r="G2" s="13" t="s">
        <v>34</v>
      </c>
      <c r="H2" s="1" t="s">
        <v>79</v>
      </c>
    </row>
    <row r="3" spans="1:8" ht="18.75" customHeight="1" x14ac:dyDescent="0.3">
      <c r="A3" s="14">
        <v>0</v>
      </c>
      <c r="B3" s="15" t="s">
        <v>80</v>
      </c>
      <c r="C3" s="15" t="s">
        <v>81</v>
      </c>
      <c r="D3" s="4" t="s">
        <v>82</v>
      </c>
      <c r="E3" s="24">
        <v>25</v>
      </c>
      <c r="F3" s="24">
        <v>25</v>
      </c>
      <c r="G3" s="16">
        <v>1</v>
      </c>
      <c r="H3" s="14">
        <v>0</v>
      </c>
    </row>
    <row r="4" spans="1:8" ht="18.75" customHeight="1" x14ac:dyDescent="0.3">
      <c r="A4" s="16">
        <v>1</v>
      </c>
      <c r="B4" s="15" t="s">
        <v>83</v>
      </c>
      <c r="C4" s="15" t="s">
        <v>81</v>
      </c>
      <c r="D4" s="4" t="s">
        <v>82</v>
      </c>
      <c r="E4" s="24">
        <v>45</v>
      </c>
      <c r="F4" s="24">
        <v>45</v>
      </c>
      <c r="G4" s="16">
        <v>1</v>
      </c>
      <c r="H4" s="14">
        <v>0</v>
      </c>
    </row>
    <row r="5" spans="1:8" ht="18.75" customHeight="1" x14ac:dyDescent="0.3">
      <c r="A5" s="16">
        <v>2</v>
      </c>
      <c r="B5" s="15" t="s">
        <v>84</v>
      </c>
      <c r="C5" s="15" t="s">
        <v>81</v>
      </c>
      <c r="D5" s="4" t="s">
        <v>82</v>
      </c>
      <c r="E5" s="24">
        <v>65</v>
      </c>
      <c r="F5" s="24">
        <v>65</v>
      </c>
      <c r="G5" s="16">
        <v>1</v>
      </c>
      <c r="H5" s="14">
        <v>0</v>
      </c>
    </row>
    <row r="6" spans="1:8" ht="18.75" customHeight="1" x14ac:dyDescent="0.3">
      <c r="A6" s="16">
        <v>3</v>
      </c>
      <c r="B6" s="15" t="s">
        <v>85</v>
      </c>
      <c r="C6" s="15" t="s">
        <v>81</v>
      </c>
      <c r="D6" s="4" t="s">
        <v>82</v>
      </c>
      <c r="E6" s="24">
        <v>85</v>
      </c>
      <c r="F6" s="24">
        <v>85</v>
      </c>
      <c r="G6" s="16">
        <v>1</v>
      </c>
      <c r="H6" s="14">
        <v>0</v>
      </c>
    </row>
    <row r="7" spans="1:8" ht="18.75" customHeight="1" x14ac:dyDescent="0.3">
      <c r="A7" s="16">
        <v>4</v>
      </c>
      <c r="B7" s="15" t="s">
        <v>86</v>
      </c>
      <c r="C7" s="15" t="s">
        <v>81</v>
      </c>
      <c r="D7" s="4" t="s">
        <v>82</v>
      </c>
      <c r="E7" s="24">
        <v>105</v>
      </c>
      <c r="F7" s="24">
        <v>105</v>
      </c>
      <c r="G7" s="16">
        <v>1</v>
      </c>
      <c r="H7" s="14">
        <v>0</v>
      </c>
    </row>
    <row r="8" spans="1:8" ht="18.75" customHeight="1" x14ac:dyDescent="0.3">
      <c r="A8" s="16">
        <v>5</v>
      </c>
      <c r="B8" s="15" t="s">
        <v>87</v>
      </c>
      <c r="C8" s="15" t="s">
        <v>81</v>
      </c>
      <c r="D8" s="4" t="s">
        <v>82</v>
      </c>
      <c r="E8" s="24">
        <v>25</v>
      </c>
      <c r="F8" s="24">
        <v>25</v>
      </c>
      <c r="G8" s="16">
        <v>1</v>
      </c>
      <c r="H8" s="14">
        <v>0</v>
      </c>
    </row>
    <row r="9" spans="1:8" ht="18.75" customHeight="1" x14ac:dyDescent="0.3">
      <c r="A9" s="16">
        <v>6</v>
      </c>
      <c r="B9" s="15" t="s">
        <v>88</v>
      </c>
      <c r="C9" s="15" t="s">
        <v>81</v>
      </c>
      <c r="D9" s="4" t="s">
        <v>82</v>
      </c>
      <c r="E9" s="24">
        <v>45</v>
      </c>
      <c r="F9" s="24">
        <v>45</v>
      </c>
      <c r="G9" s="16">
        <v>1</v>
      </c>
      <c r="H9" s="14">
        <v>0</v>
      </c>
    </row>
    <row r="10" spans="1:8" ht="18.75" customHeight="1" x14ac:dyDescent="0.3">
      <c r="A10" s="16">
        <v>7</v>
      </c>
      <c r="B10" s="15" t="s">
        <v>89</v>
      </c>
      <c r="C10" s="15" t="s">
        <v>81</v>
      </c>
      <c r="D10" s="4" t="s">
        <v>82</v>
      </c>
      <c r="E10" s="24">
        <v>65</v>
      </c>
      <c r="F10" s="24">
        <v>65</v>
      </c>
      <c r="G10" s="16">
        <v>1</v>
      </c>
      <c r="H10" s="14">
        <v>0</v>
      </c>
    </row>
    <row r="11" spans="1:8" ht="18.75" customHeight="1" x14ac:dyDescent="0.3">
      <c r="A11" s="16">
        <v>8</v>
      </c>
      <c r="B11" s="15" t="s">
        <v>90</v>
      </c>
      <c r="C11" s="15" t="s">
        <v>81</v>
      </c>
      <c r="D11" s="4" t="s">
        <v>82</v>
      </c>
      <c r="E11" s="24">
        <v>85</v>
      </c>
      <c r="F11" s="24">
        <v>85</v>
      </c>
      <c r="G11" s="16">
        <v>1</v>
      </c>
      <c r="H11" s="14">
        <v>0</v>
      </c>
    </row>
    <row r="12" spans="1:8" ht="18.75" customHeight="1" x14ac:dyDescent="0.3">
      <c r="A12" s="16">
        <v>9</v>
      </c>
      <c r="B12" s="15" t="s">
        <v>91</v>
      </c>
      <c r="C12" s="15" t="s">
        <v>81</v>
      </c>
      <c r="D12" s="4" t="s">
        <v>82</v>
      </c>
      <c r="E12" s="24">
        <v>105</v>
      </c>
      <c r="F12" s="24">
        <v>105</v>
      </c>
      <c r="G12" s="16">
        <v>1</v>
      </c>
      <c r="H12" s="14">
        <v>0</v>
      </c>
    </row>
    <row r="13" spans="1:8" ht="18.75" customHeight="1" x14ac:dyDescent="0.3">
      <c r="A13" s="16">
        <v>10</v>
      </c>
      <c r="B13" s="15" t="s">
        <v>92</v>
      </c>
      <c r="C13" s="15" t="s">
        <v>93</v>
      </c>
      <c r="D13" s="4" t="s">
        <v>82</v>
      </c>
      <c r="E13" s="24">
        <v>57</v>
      </c>
      <c r="F13" s="24">
        <v>57</v>
      </c>
      <c r="G13" s="16">
        <v>1</v>
      </c>
      <c r="H13" s="14">
        <v>0</v>
      </c>
    </row>
    <row r="14" spans="1:8" ht="18.75" customHeight="1" x14ac:dyDescent="0.3">
      <c r="A14" s="16">
        <v>11</v>
      </c>
      <c r="B14" s="15" t="s">
        <v>94</v>
      </c>
      <c r="C14" s="15" t="s">
        <v>93</v>
      </c>
      <c r="D14" s="4" t="s">
        <v>82</v>
      </c>
      <c r="E14" s="24">
        <v>77</v>
      </c>
      <c r="F14" s="24">
        <v>77</v>
      </c>
      <c r="G14" s="16">
        <v>1</v>
      </c>
      <c r="H14" s="14">
        <v>0</v>
      </c>
    </row>
    <row r="15" spans="1:8" ht="18.75" customHeight="1" x14ac:dyDescent="0.3">
      <c r="A15" s="16">
        <v>12</v>
      </c>
      <c r="B15" s="15" t="s">
        <v>95</v>
      </c>
      <c r="C15" s="15" t="s">
        <v>93</v>
      </c>
      <c r="D15" s="4" t="s">
        <v>82</v>
      </c>
      <c r="E15" s="24">
        <v>97</v>
      </c>
      <c r="F15" s="24">
        <v>97</v>
      </c>
      <c r="G15" s="16">
        <v>1</v>
      </c>
      <c r="H15" s="14">
        <v>0</v>
      </c>
    </row>
    <row r="16" spans="1:8" ht="18.75" customHeight="1" x14ac:dyDescent="0.3">
      <c r="A16" s="16">
        <v>13</v>
      </c>
      <c r="B16" s="15" t="s">
        <v>96</v>
      </c>
      <c r="C16" s="15" t="s">
        <v>93</v>
      </c>
      <c r="D16" s="4" t="s">
        <v>82</v>
      </c>
      <c r="E16" s="24">
        <v>117</v>
      </c>
      <c r="F16" s="24">
        <v>117</v>
      </c>
      <c r="G16" s="16">
        <v>1</v>
      </c>
      <c r="H16" s="14">
        <v>0</v>
      </c>
    </row>
    <row r="17" spans="1:8" ht="18.75" customHeight="1" x14ac:dyDescent="0.3">
      <c r="A17" s="16">
        <v>14</v>
      </c>
      <c r="B17" s="15" t="s">
        <v>97</v>
      </c>
      <c r="C17" s="15" t="s">
        <v>93</v>
      </c>
      <c r="D17" s="4" t="s">
        <v>82</v>
      </c>
      <c r="E17" s="24">
        <v>137</v>
      </c>
      <c r="F17" s="24">
        <v>137</v>
      </c>
      <c r="G17" s="16">
        <v>1</v>
      </c>
      <c r="H17" s="14">
        <v>0</v>
      </c>
    </row>
    <row r="18" spans="1:8" ht="18.75" customHeight="1" x14ac:dyDescent="0.3">
      <c r="A18" s="16">
        <v>15</v>
      </c>
      <c r="B18" s="15" t="s">
        <v>98</v>
      </c>
      <c r="C18" s="15" t="s">
        <v>93</v>
      </c>
      <c r="D18" s="4" t="s">
        <v>82</v>
      </c>
      <c r="E18" s="24">
        <v>57</v>
      </c>
      <c r="F18" s="24">
        <v>57</v>
      </c>
      <c r="G18" s="16">
        <v>1</v>
      </c>
      <c r="H18" s="14">
        <v>0</v>
      </c>
    </row>
    <row r="19" spans="1:8" ht="18.75" customHeight="1" x14ac:dyDescent="0.3">
      <c r="A19" s="16">
        <v>16</v>
      </c>
      <c r="B19" s="15" t="s">
        <v>99</v>
      </c>
      <c r="C19" s="15" t="s">
        <v>93</v>
      </c>
      <c r="D19" s="4" t="s">
        <v>82</v>
      </c>
      <c r="E19" s="24">
        <v>77</v>
      </c>
      <c r="F19" s="24">
        <v>77</v>
      </c>
      <c r="G19" s="16">
        <v>1</v>
      </c>
      <c r="H19" s="14">
        <v>0</v>
      </c>
    </row>
    <row r="20" spans="1:8" ht="18.75" customHeight="1" x14ac:dyDescent="0.3">
      <c r="A20" s="16">
        <v>17</v>
      </c>
      <c r="B20" s="15" t="s">
        <v>100</v>
      </c>
      <c r="C20" s="15" t="s">
        <v>93</v>
      </c>
      <c r="D20" s="4" t="s">
        <v>82</v>
      </c>
      <c r="E20" s="24">
        <v>97</v>
      </c>
      <c r="F20" s="24">
        <v>97</v>
      </c>
      <c r="G20" s="16">
        <v>1</v>
      </c>
      <c r="H20" s="14">
        <v>0</v>
      </c>
    </row>
    <row r="21" spans="1:8" ht="18.75" customHeight="1" x14ac:dyDescent="0.3">
      <c r="A21" s="16">
        <v>18</v>
      </c>
      <c r="B21" s="15" t="s">
        <v>101</v>
      </c>
      <c r="C21" s="15" t="s">
        <v>93</v>
      </c>
      <c r="D21" s="4" t="s">
        <v>82</v>
      </c>
      <c r="E21" s="24">
        <v>117</v>
      </c>
      <c r="F21" s="24">
        <v>117</v>
      </c>
      <c r="G21" s="16">
        <v>1</v>
      </c>
      <c r="H21" s="14">
        <v>0</v>
      </c>
    </row>
    <row r="22" spans="1:8" ht="18.75" customHeight="1" x14ac:dyDescent="0.3">
      <c r="A22" s="16">
        <v>19</v>
      </c>
      <c r="B22" s="15" t="s">
        <v>102</v>
      </c>
      <c r="C22" s="15" t="s">
        <v>93</v>
      </c>
      <c r="D22" s="4" t="s">
        <v>82</v>
      </c>
      <c r="E22" s="24">
        <v>137</v>
      </c>
      <c r="F22" s="24">
        <v>137</v>
      </c>
      <c r="G22" s="16">
        <v>1</v>
      </c>
      <c r="H22" s="14">
        <v>0</v>
      </c>
    </row>
    <row r="23" spans="1:8" ht="18.75" customHeight="1" x14ac:dyDescent="0.3">
      <c r="A23" s="16">
        <v>20</v>
      </c>
      <c r="B23" s="15" t="s">
        <v>103</v>
      </c>
      <c r="C23" s="15" t="s">
        <v>104</v>
      </c>
      <c r="D23" s="4" t="s">
        <v>82</v>
      </c>
      <c r="E23" s="24">
        <v>89</v>
      </c>
      <c r="F23" s="24">
        <v>89</v>
      </c>
      <c r="G23" s="16">
        <v>1</v>
      </c>
      <c r="H23" s="14">
        <v>0</v>
      </c>
    </row>
    <row r="24" spans="1:8" ht="18.75" customHeight="1" x14ac:dyDescent="0.3">
      <c r="A24" s="16">
        <v>21</v>
      </c>
      <c r="B24" s="15" t="s">
        <v>105</v>
      </c>
      <c r="C24" s="15" t="s">
        <v>104</v>
      </c>
      <c r="D24" s="4" t="s">
        <v>82</v>
      </c>
      <c r="E24" s="24">
        <v>109</v>
      </c>
      <c r="F24" s="24">
        <v>109</v>
      </c>
      <c r="G24" s="16">
        <v>1</v>
      </c>
      <c r="H24" s="14">
        <v>0</v>
      </c>
    </row>
    <row r="25" spans="1:8" ht="18.75" customHeight="1" x14ac:dyDescent="0.3">
      <c r="A25" s="16">
        <v>22</v>
      </c>
      <c r="B25" s="15" t="s">
        <v>106</v>
      </c>
      <c r="C25" s="15" t="s">
        <v>104</v>
      </c>
      <c r="D25" s="4" t="s">
        <v>82</v>
      </c>
      <c r="E25" s="24">
        <v>129</v>
      </c>
      <c r="F25" s="24">
        <v>129</v>
      </c>
      <c r="G25" s="16">
        <v>1</v>
      </c>
      <c r="H25" s="14">
        <v>0</v>
      </c>
    </row>
    <row r="26" spans="1:8" ht="18.75" customHeight="1" x14ac:dyDescent="0.3">
      <c r="A26" s="16">
        <v>23</v>
      </c>
      <c r="B26" s="15" t="s">
        <v>107</v>
      </c>
      <c r="C26" s="15" t="s">
        <v>104</v>
      </c>
      <c r="D26" s="4" t="s">
        <v>82</v>
      </c>
      <c r="E26" s="24">
        <v>149</v>
      </c>
      <c r="F26" s="24">
        <v>149</v>
      </c>
      <c r="G26" s="16">
        <v>1</v>
      </c>
      <c r="H26" s="14">
        <v>0</v>
      </c>
    </row>
    <row r="27" spans="1:8" ht="18.75" customHeight="1" x14ac:dyDescent="0.3">
      <c r="A27" s="16">
        <v>24</v>
      </c>
      <c r="B27" s="15" t="s">
        <v>108</v>
      </c>
      <c r="C27" s="15" t="s">
        <v>104</v>
      </c>
      <c r="D27" s="4" t="s">
        <v>82</v>
      </c>
      <c r="E27" s="24">
        <v>169</v>
      </c>
      <c r="F27" s="24">
        <v>169</v>
      </c>
      <c r="G27" s="16">
        <v>1</v>
      </c>
      <c r="H27" s="14">
        <v>0</v>
      </c>
    </row>
    <row r="28" spans="1:8" ht="18.75" customHeight="1" x14ac:dyDescent="0.3">
      <c r="A28" s="16">
        <v>25</v>
      </c>
      <c r="B28" s="15" t="s">
        <v>109</v>
      </c>
      <c r="C28" s="15" t="s">
        <v>104</v>
      </c>
      <c r="D28" s="4" t="s">
        <v>82</v>
      </c>
      <c r="E28" s="24">
        <v>89</v>
      </c>
      <c r="F28" s="24">
        <v>89</v>
      </c>
      <c r="G28" s="16">
        <v>1</v>
      </c>
      <c r="H28" s="14">
        <v>0</v>
      </c>
    </row>
    <row r="29" spans="1:8" ht="18.75" customHeight="1" x14ac:dyDescent="0.3">
      <c r="A29" s="16">
        <v>26</v>
      </c>
      <c r="B29" s="15" t="s">
        <v>110</v>
      </c>
      <c r="C29" s="15" t="s">
        <v>104</v>
      </c>
      <c r="D29" s="4" t="s">
        <v>82</v>
      </c>
      <c r="E29" s="24">
        <v>109</v>
      </c>
      <c r="F29" s="24">
        <v>109</v>
      </c>
      <c r="G29" s="16">
        <v>1</v>
      </c>
      <c r="H29" s="14">
        <v>0</v>
      </c>
    </row>
    <row r="30" spans="1:8" ht="18.75" customHeight="1" x14ac:dyDescent="0.3">
      <c r="A30" s="16">
        <v>27</v>
      </c>
      <c r="B30" s="15" t="s">
        <v>111</v>
      </c>
      <c r="C30" s="15" t="s">
        <v>104</v>
      </c>
      <c r="D30" s="4" t="s">
        <v>82</v>
      </c>
      <c r="E30" s="24">
        <v>129</v>
      </c>
      <c r="F30" s="25">
        <v>129</v>
      </c>
      <c r="G30" s="16">
        <v>1</v>
      </c>
      <c r="H30" s="14">
        <v>0</v>
      </c>
    </row>
    <row r="31" spans="1:8" ht="18.75" customHeight="1" x14ac:dyDescent="0.3">
      <c r="A31" s="16">
        <v>28</v>
      </c>
      <c r="B31" s="15" t="s">
        <v>112</v>
      </c>
      <c r="C31" s="15" t="s">
        <v>104</v>
      </c>
      <c r="D31" s="4" t="s">
        <v>82</v>
      </c>
      <c r="E31" s="24">
        <v>149</v>
      </c>
      <c r="F31" s="24">
        <v>149</v>
      </c>
      <c r="G31" s="16">
        <v>1</v>
      </c>
      <c r="H31" s="14">
        <v>0</v>
      </c>
    </row>
    <row r="32" spans="1:8" ht="18.75" customHeight="1" x14ac:dyDescent="0.3">
      <c r="A32" s="16">
        <v>29</v>
      </c>
      <c r="B32" s="15" t="s">
        <v>113</v>
      </c>
      <c r="C32" s="15" t="s">
        <v>104</v>
      </c>
      <c r="D32" s="4" t="s">
        <v>82</v>
      </c>
      <c r="E32" s="24">
        <v>169</v>
      </c>
      <c r="F32" s="24">
        <v>169</v>
      </c>
      <c r="G32" s="16">
        <v>1</v>
      </c>
      <c r="H32" s="14">
        <v>0</v>
      </c>
    </row>
    <row r="33" spans="1:8" ht="18.75" customHeight="1" x14ac:dyDescent="0.3">
      <c r="A33" s="16">
        <v>30</v>
      </c>
      <c r="B33" s="15" t="s">
        <v>114</v>
      </c>
      <c r="C33" s="15" t="s">
        <v>115</v>
      </c>
      <c r="D33" s="4" t="s">
        <v>82</v>
      </c>
      <c r="E33" s="24">
        <v>121</v>
      </c>
      <c r="F33" s="24">
        <v>121</v>
      </c>
      <c r="G33" s="16">
        <v>1</v>
      </c>
      <c r="H33" s="14">
        <v>0</v>
      </c>
    </row>
    <row r="34" spans="1:8" ht="18.75" customHeight="1" x14ac:dyDescent="0.3">
      <c r="A34" s="16">
        <v>31</v>
      </c>
      <c r="B34" s="15" t="s">
        <v>116</v>
      </c>
      <c r="C34" s="15" t="s">
        <v>115</v>
      </c>
      <c r="D34" s="4" t="s">
        <v>82</v>
      </c>
      <c r="E34" s="24">
        <v>141</v>
      </c>
      <c r="F34" s="24">
        <v>141</v>
      </c>
      <c r="G34" s="16">
        <v>1</v>
      </c>
      <c r="H34" s="14">
        <v>0</v>
      </c>
    </row>
    <row r="35" spans="1:8" ht="18.75" customHeight="1" x14ac:dyDescent="0.3">
      <c r="A35" s="16">
        <v>32</v>
      </c>
      <c r="B35" s="15" t="s">
        <v>117</v>
      </c>
      <c r="C35" s="15" t="s">
        <v>115</v>
      </c>
      <c r="D35" s="4" t="s">
        <v>82</v>
      </c>
      <c r="E35" s="24">
        <v>161</v>
      </c>
      <c r="F35" s="24">
        <v>161</v>
      </c>
      <c r="G35" s="16">
        <v>1</v>
      </c>
      <c r="H35" s="14">
        <v>0</v>
      </c>
    </row>
    <row r="36" spans="1:8" ht="18.75" customHeight="1" x14ac:dyDescent="0.3">
      <c r="A36" s="16">
        <v>33</v>
      </c>
      <c r="B36" s="15" t="s">
        <v>118</v>
      </c>
      <c r="C36" s="15" t="s">
        <v>115</v>
      </c>
      <c r="D36" s="4" t="s">
        <v>82</v>
      </c>
      <c r="E36" s="24">
        <v>181</v>
      </c>
      <c r="F36" s="24">
        <v>181</v>
      </c>
      <c r="G36" s="16">
        <v>1</v>
      </c>
      <c r="H36" s="14">
        <v>0</v>
      </c>
    </row>
    <row r="37" spans="1:8" ht="18.75" customHeight="1" x14ac:dyDescent="0.3">
      <c r="A37" s="16">
        <v>34</v>
      </c>
      <c r="B37" s="15" t="s">
        <v>119</v>
      </c>
      <c r="C37" s="15" t="s">
        <v>115</v>
      </c>
      <c r="D37" s="4" t="s">
        <v>82</v>
      </c>
      <c r="E37" s="24">
        <v>201</v>
      </c>
      <c r="F37" s="24">
        <v>201</v>
      </c>
      <c r="G37" s="16">
        <v>1</v>
      </c>
      <c r="H37" s="14">
        <v>0</v>
      </c>
    </row>
    <row r="38" spans="1:8" ht="18.75" customHeight="1" x14ac:dyDescent="0.3">
      <c r="A38" s="16">
        <v>35</v>
      </c>
      <c r="B38" s="15" t="s">
        <v>120</v>
      </c>
      <c r="C38" s="15" t="s">
        <v>115</v>
      </c>
      <c r="D38" s="4" t="s">
        <v>82</v>
      </c>
      <c r="E38" s="24">
        <v>121</v>
      </c>
      <c r="F38" s="24">
        <v>121</v>
      </c>
      <c r="G38" s="16">
        <v>1</v>
      </c>
      <c r="H38" s="14">
        <v>0</v>
      </c>
    </row>
    <row r="39" spans="1:8" ht="18.75" customHeight="1" x14ac:dyDescent="0.3">
      <c r="A39" s="16">
        <v>36</v>
      </c>
      <c r="B39" s="15" t="s">
        <v>121</v>
      </c>
      <c r="C39" s="15" t="s">
        <v>115</v>
      </c>
      <c r="D39" s="4" t="s">
        <v>82</v>
      </c>
      <c r="E39" s="24">
        <v>141</v>
      </c>
      <c r="F39" s="24">
        <v>141</v>
      </c>
      <c r="G39" s="16">
        <v>1</v>
      </c>
      <c r="H39" s="14">
        <v>0</v>
      </c>
    </row>
    <row r="40" spans="1:8" ht="18.75" customHeight="1" x14ac:dyDescent="0.3">
      <c r="A40" s="16">
        <v>37</v>
      </c>
      <c r="B40" s="15" t="s">
        <v>122</v>
      </c>
      <c r="C40" s="15" t="s">
        <v>115</v>
      </c>
      <c r="D40" s="4" t="s">
        <v>82</v>
      </c>
      <c r="E40" s="24">
        <v>161</v>
      </c>
      <c r="F40" s="24">
        <v>161</v>
      </c>
      <c r="G40" s="16">
        <v>1</v>
      </c>
      <c r="H40" s="14">
        <v>0</v>
      </c>
    </row>
    <row r="41" spans="1:8" ht="18.75" customHeight="1" x14ac:dyDescent="0.3">
      <c r="A41" s="16">
        <v>38</v>
      </c>
      <c r="B41" s="15" t="s">
        <v>123</v>
      </c>
      <c r="C41" s="15" t="s">
        <v>115</v>
      </c>
      <c r="D41" s="4" t="s">
        <v>82</v>
      </c>
      <c r="E41" s="24">
        <v>181</v>
      </c>
      <c r="F41" s="24">
        <v>181</v>
      </c>
      <c r="G41" s="16">
        <v>1</v>
      </c>
      <c r="H41" s="14">
        <v>0</v>
      </c>
    </row>
    <row r="42" spans="1:8" ht="18.75" customHeight="1" x14ac:dyDescent="0.3">
      <c r="A42" s="16">
        <v>39</v>
      </c>
      <c r="B42" s="15" t="s">
        <v>124</v>
      </c>
      <c r="C42" s="15" t="s">
        <v>115</v>
      </c>
      <c r="D42" s="4" t="s">
        <v>82</v>
      </c>
      <c r="E42" s="24">
        <v>201</v>
      </c>
      <c r="F42" s="24">
        <v>201</v>
      </c>
      <c r="G42" s="16">
        <v>1</v>
      </c>
      <c r="H42" s="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33203125" defaultRowHeight="14.4" x14ac:dyDescent="0.3"/>
  <cols>
    <col min="1" max="1" width="13.5546875" style="5" bestFit="1" customWidth="1"/>
    <col min="2" max="2" width="13.33203125" bestFit="1" customWidth="1"/>
    <col min="3" max="3" width="10.6640625" bestFit="1" customWidth="1"/>
  </cols>
  <sheetData>
    <row r="1" spans="1:3" ht="18.75" customHeight="1" x14ac:dyDescent="0.3">
      <c r="A1" s="1" t="s">
        <v>0</v>
      </c>
      <c r="B1" s="2" t="s">
        <v>71</v>
      </c>
      <c r="C1" s="2" t="s">
        <v>72</v>
      </c>
    </row>
    <row r="2" spans="1:3" ht="18.75" customHeight="1" x14ac:dyDescent="0.3">
      <c r="A2" s="1" t="s">
        <v>32</v>
      </c>
      <c r="B2" s="2" t="s">
        <v>33</v>
      </c>
      <c r="C2" s="2" t="s">
        <v>33</v>
      </c>
    </row>
    <row r="3" spans="1:3" ht="18.75" customHeight="1" x14ac:dyDescent="0.3">
      <c r="A3" s="3">
        <v>0</v>
      </c>
      <c r="B3" s="4" t="s">
        <v>82</v>
      </c>
      <c r="C3" s="4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G4" sqref="G4"/>
    </sheetView>
  </sheetViews>
  <sheetFormatPr baseColWidth="10" defaultRowHeight="14.4" x14ac:dyDescent="0.3"/>
  <sheetData>
    <row r="1" spans="1:7" ht="15.75" customHeight="1" x14ac:dyDescent="0.3">
      <c r="A1" s="1" t="s">
        <v>0</v>
      </c>
      <c r="B1" s="1" t="s">
        <v>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 ht="15.75" customHeight="1" x14ac:dyDescent="0.3">
      <c r="A2" s="1" t="s">
        <v>32</v>
      </c>
      <c r="B2" s="1" t="s">
        <v>33</v>
      </c>
      <c r="C2" s="1" t="s">
        <v>33</v>
      </c>
      <c r="D2" s="1" t="s">
        <v>63</v>
      </c>
      <c r="E2" s="1" t="s">
        <v>130</v>
      </c>
      <c r="F2" s="1" t="s">
        <v>37</v>
      </c>
      <c r="G2" s="1" t="s">
        <v>32</v>
      </c>
    </row>
    <row r="3" spans="1:7" x14ac:dyDescent="0.3">
      <c r="A3" s="3">
        <v>1</v>
      </c>
      <c r="B3" s="4" t="s">
        <v>131</v>
      </c>
      <c r="C3" s="4" t="s">
        <v>132</v>
      </c>
      <c r="D3" s="3">
        <v>273</v>
      </c>
      <c r="E3" s="4">
        <v>6.5</v>
      </c>
      <c r="F3" s="4">
        <v>500</v>
      </c>
      <c r="G3" s="3">
        <v>2</v>
      </c>
    </row>
    <row r="4" spans="1:7" x14ac:dyDescent="0.3">
      <c r="A4" s="3">
        <v>2</v>
      </c>
      <c r="B4" s="4" t="s">
        <v>133</v>
      </c>
      <c r="C4" s="4" t="s">
        <v>134</v>
      </c>
      <c r="D4" s="3">
        <v>1119</v>
      </c>
      <c r="E4" s="4">
        <v>21.6</v>
      </c>
      <c r="F4" s="4">
        <v>500</v>
      </c>
      <c r="G4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J20" sqref="J20"/>
    </sheetView>
  </sheetViews>
  <sheetFormatPr baseColWidth="10" defaultRowHeight="14.4" x14ac:dyDescent="0.3"/>
  <sheetData>
    <row r="1" spans="1:9" ht="15.75" customHeight="1" x14ac:dyDescent="0.3">
      <c r="A1" s="1" t="s">
        <v>0</v>
      </c>
      <c r="B1" s="1" t="s">
        <v>4</v>
      </c>
      <c r="C1" s="1" t="s">
        <v>126</v>
      </c>
      <c r="D1" s="1" t="s">
        <v>127</v>
      </c>
      <c r="E1" s="1" t="s">
        <v>128</v>
      </c>
      <c r="F1" s="1" t="s">
        <v>135</v>
      </c>
      <c r="G1" s="1" t="s">
        <v>136</v>
      </c>
      <c r="H1" s="31" t="s">
        <v>137</v>
      </c>
      <c r="I1" s="32" t="s">
        <v>138</v>
      </c>
    </row>
    <row r="2" spans="1:9" ht="15.75" customHeight="1" x14ac:dyDescent="0.3">
      <c r="A2" s="1" t="s">
        <v>32</v>
      </c>
      <c r="B2" s="1" t="s">
        <v>33</v>
      </c>
      <c r="C2" s="1" t="s">
        <v>62</v>
      </c>
      <c r="D2" s="1" t="s">
        <v>139</v>
      </c>
      <c r="E2" s="1" t="s">
        <v>37</v>
      </c>
      <c r="F2" s="1" t="s">
        <v>32</v>
      </c>
      <c r="G2" s="1" t="s">
        <v>45</v>
      </c>
      <c r="H2" s="31" t="s">
        <v>45</v>
      </c>
      <c r="I2" s="32" t="s">
        <v>3</v>
      </c>
    </row>
    <row r="3" spans="1:9" x14ac:dyDescent="0.3">
      <c r="A3" s="3">
        <v>1</v>
      </c>
      <c r="B3" s="4" t="s">
        <v>140</v>
      </c>
      <c r="C3" s="4">
        <v>100900</v>
      </c>
      <c r="D3" s="3">
        <v>2900</v>
      </c>
      <c r="E3" s="4">
        <v>250</v>
      </c>
      <c r="F3" s="4">
        <v>0.98</v>
      </c>
      <c r="G3" s="3">
        <v>0</v>
      </c>
      <c r="H3" s="33">
        <v>1000</v>
      </c>
      <c r="I3" s="3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tabSelected="1" workbookViewId="0">
      <selection activeCell="B4" sqref="B4"/>
    </sheetView>
  </sheetViews>
  <sheetFormatPr baseColWidth="10" defaultRowHeight="14.4" x14ac:dyDescent="0.3"/>
  <cols>
    <col min="3" max="3" width="13.88671875" bestFit="1" customWidth="1"/>
    <col min="4" max="4" width="21.6640625" bestFit="1" customWidth="1"/>
  </cols>
  <sheetData>
    <row r="1" spans="1:5" ht="15.75" customHeight="1" x14ac:dyDescent="0.3">
      <c r="A1" s="1" t="s">
        <v>0</v>
      </c>
      <c r="B1" s="1" t="s">
        <v>141</v>
      </c>
      <c r="C1" s="1" t="s">
        <v>142</v>
      </c>
      <c r="D1" s="31" t="s">
        <v>143</v>
      </c>
      <c r="E1" s="32" t="s">
        <v>144</v>
      </c>
    </row>
    <row r="2" spans="1:5" ht="15.75" customHeight="1" x14ac:dyDescent="0.3">
      <c r="A2" s="1" t="s">
        <v>3</v>
      </c>
      <c r="B2" s="35" t="s">
        <v>3</v>
      </c>
      <c r="C2" s="1" t="s">
        <v>62</v>
      </c>
      <c r="D2" s="31" t="s">
        <v>62</v>
      </c>
      <c r="E2" s="32" t="s">
        <v>145</v>
      </c>
    </row>
    <row r="3" spans="1:5" x14ac:dyDescent="0.3">
      <c r="A3" s="33">
        <v>1</v>
      </c>
      <c r="B3" s="23">
        <v>4.5100000000000001E-2</v>
      </c>
      <c r="C3" s="36">
        <v>299000</v>
      </c>
      <c r="D3" s="37">
        <v>0.8</v>
      </c>
      <c r="E3" s="23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>
      <selection activeCell="F16" sqref="F16"/>
    </sheetView>
  </sheetViews>
  <sheetFormatPr baseColWidth="10" defaultRowHeight="14.4" x14ac:dyDescent="0.3"/>
  <sheetData>
    <row r="1" spans="1:3" ht="15.75" customHeight="1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3">
      <c r="A2" s="1" t="s">
        <v>3</v>
      </c>
      <c r="B2" s="35" t="s">
        <v>3</v>
      </c>
      <c r="C2" s="1" t="s">
        <v>3</v>
      </c>
    </row>
    <row r="3" spans="1:3" x14ac:dyDescent="0.3">
      <c r="A3" s="33">
        <v>1</v>
      </c>
      <c r="B3" s="23">
        <v>1</v>
      </c>
      <c r="C3" s="33">
        <v>4</v>
      </c>
    </row>
    <row r="4" spans="1:3" x14ac:dyDescent="0.3">
      <c r="A4" s="33">
        <v>2</v>
      </c>
      <c r="B4" s="23">
        <v>2</v>
      </c>
      <c r="C4" s="33">
        <v>4</v>
      </c>
    </row>
    <row r="5" spans="1:3" x14ac:dyDescent="0.3">
      <c r="A5" s="33">
        <v>3</v>
      </c>
      <c r="B5" s="23">
        <v>3</v>
      </c>
      <c r="C5" s="33">
        <v>4</v>
      </c>
    </row>
    <row r="6" spans="1:3" x14ac:dyDescent="0.3">
      <c r="A6" s="33">
        <v>4</v>
      </c>
      <c r="B6" s="23">
        <v>4</v>
      </c>
      <c r="C6" s="33">
        <v>4</v>
      </c>
    </row>
    <row r="7" spans="1:3" x14ac:dyDescent="0.3">
      <c r="A7" s="33">
        <v>5</v>
      </c>
      <c r="B7" s="23">
        <v>5</v>
      </c>
      <c r="C7" s="33">
        <v>4</v>
      </c>
    </row>
    <row r="8" spans="1:3" x14ac:dyDescent="0.3">
      <c r="A8" s="33">
        <v>6</v>
      </c>
      <c r="B8" s="23">
        <v>6</v>
      </c>
      <c r="C8" s="33">
        <v>4</v>
      </c>
    </row>
    <row r="9" spans="1:3" x14ac:dyDescent="0.3">
      <c r="A9" s="33">
        <v>7</v>
      </c>
      <c r="B9" s="23">
        <v>7</v>
      </c>
      <c r="C9" s="33">
        <v>4</v>
      </c>
    </row>
    <row r="10" spans="1:3" x14ac:dyDescent="0.3">
      <c r="A10" s="33">
        <v>8</v>
      </c>
      <c r="B10" s="23">
        <v>8</v>
      </c>
      <c r="C10" s="33">
        <v>4</v>
      </c>
    </row>
    <row r="11" spans="1:3" x14ac:dyDescent="0.3">
      <c r="A11" s="33">
        <v>9</v>
      </c>
      <c r="B11" s="23">
        <v>9</v>
      </c>
      <c r="C11" s="33">
        <v>4</v>
      </c>
    </row>
    <row r="12" spans="1:3" x14ac:dyDescent="0.3">
      <c r="A12" s="33">
        <v>10</v>
      </c>
      <c r="B12" s="23">
        <v>10</v>
      </c>
      <c r="C12" s="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2026-10-16T19:26:47Z</dcterms:modified>
</cp:coreProperties>
</file>