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Resultados_finales\Carga_ob_8lhds_autonomo\"/>
    </mc:Choice>
  </mc:AlternateContent>
  <xr:revisionPtr revIDLastSave="0" documentId="13_ncr:1_{7B174BFD-4A2C-4E8E-84C4-A30DC91829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1" r:id="rId1"/>
    <sheet name="stations" sheetId="2" r:id="rId2"/>
    <sheet name="chargers" sheetId="3" r:id="rId3"/>
    <sheet name="extraction_nodes" sheetId="4" r:id="rId4"/>
    <sheet name="discharge_nod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</calcChain>
</file>

<file path=xl/sharedStrings.xml><?xml version="1.0" encoding="utf-8"?>
<sst xmlns="http://schemas.openxmlformats.org/spreadsheetml/2006/main" count="800" uniqueCount="314">
  <si>
    <t>id</t>
  </si>
  <si>
    <t>station_name</t>
  </si>
  <si>
    <t>c_fixed</t>
  </si>
  <si>
    <t>c_bays</t>
  </si>
  <si>
    <t>c_charger_space</t>
  </si>
  <si>
    <t>max_bays</t>
  </si>
  <si>
    <t>max_chargers_per_bay</t>
  </si>
  <si>
    <t>p_max_ssee</t>
  </si>
  <si>
    <t>integer</t>
  </si>
  <si>
    <t>string</t>
  </si>
  <si>
    <t>USD</t>
  </si>
  <si>
    <t>int</t>
  </si>
  <si>
    <t>kW</t>
  </si>
  <si>
    <t>station_1</t>
  </si>
  <si>
    <t>name</t>
  </si>
  <si>
    <t>energy_cost</t>
  </si>
  <si>
    <t>technology_type</t>
  </si>
  <si>
    <t>operation_mode</t>
  </si>
  <si>
    <t>model</t>
  </si>
  <si>
    <t>load_capacity</t>
  </si>
  <si>
    <t>filling_factor</t>
  </si>
  <si>
    <t>loading_time</t>
  </si>
  <si>
    <t>discharging_time</t>
  </si>
  <si>
    <t>weight</t>
  </si>
  <si>
    <t>engine_power</t>
  </si>
  <si>
    <t>frontal_area</t>
  </si>
  <si>
    <t>tank_capacity</t>
  </si>
  <si>
    <t>min_capacity</t>
  </si>
  <si>
    <t>fuel_consumption</t>
  </si>
  <si>
    <t>refueling_time</t>
  </si>
  <si>
    <t>engine_efficiency</t>
  </si>
  <si>
    <t>transmission_efficiency</t>
  </si>
  <si>
    <t>speed</t>
  </si>
  <si>
    <t>acceleration</t>
  </si>
  <si>
    <t>hydraulic_power</t>
  </si>
  <si>
    <t>aux_power</t>
  </si>
  <si>
    <t>charge_power</t>
  </si>
  <si>
    <t>battery_capacity</t>
  </si>
  <si>
    <t>min_soc</t>
  </si>
  <si>
    <t>charge_efficiency</t>
  </si>
  <si>
    <t>discharge_efficiency</t>
  </si>
  <si>
    <t>swap_time</t>
  </si>
  <si>
    <t>ton</t>
  </si>
  <si>
    <t>p.u.</t>
  </si>
  <si>
    <t>sec</t>
  </si>
  <si>
    <t>m2</t>
  </si>
  <si>
    <t>L</t>
  </si>
  <si>
    <t>float</t>
  </si>
  <si>
    <t>g/kWh</t>
  </si>
  <si>
    <t>min</t>
  </si>
  <si>
    <t>km/h</t>
  </si>
  <si>
    <t>m/s^2</t>
  </si>
  <si>
    <t>kWh</t>
  </si>
  <si>
    <t>LH518B_1</t>
  </si>
  <si>
    <t>Profile_fixed</t>
  </si>
  <si>
    <t>electric</t>
  </si>
  <si>
    <t>Efficient</t>
  </si>
  <si>
    <t xml:space="preserve"> LH518ib</t>
  </si>
  <si>
    <t>LH518B_2</t>
  </si>
  <si>
    <t>LH518B_3</t>
  </si>
  <si>
    <t>LH518B_4</t>
  </si>
  <si>
    <t>LH518B_5</t>
  </si>
  <si>
    <t>LH518B_6</t>
  </si>
  <si>
    <t>LH518B_7</t>
  </si>
  <si>
    <t>LH518B_8</t>
  </si>
  <si>
    <t>charger_model</t>
  </si>
  <si>
    <t>charger_cost</t>
  </si>
  <si>
    <t>charger_power</t>
  </si>
  <si>
    <t>num_connectors</t>
  </si>
  <si>
    <t>p_peak_dist</t>
  </si>
  <si>
    <t>Sandvik</t>
  </si>
  <si>
    <t>node_name</t>
  </si>
  <si>
    <t>street</t>
  </si>
  <si>
    <t>discharge_node</t>
  </si>
  <si>
    <t>distance_to_d_node_return</t>
  </si>
  <si>
    <t>distance_to_d_node_outbound</t>
  </si>
  <si>
    <t>quota</t>
  </si>
  <si>
    <t>tilt</t>
  </si>
  <si>
    <t>m</t>
  </si>
  <si>
    <t>deg</t>
  </si>
  <si>
    <t>06_13F</t>
  </si>
  <si>
    <t>06</t>
  </si>
  <si>
    <t>DumpFront_1</t>
  </si>
  <si>
    <t>06_14F</t>
  </si>
  <si>
    <t>06_15F</t>
  </si>
  <si>
    <t>07_08F</t>
  </si>
  <si>
    <t>07</t>
  </si>
  <si>
    <t>DumpFront_11</t>
  </si>
  <si>
    <t>07_09F</t>
  </si>
  <si>
    <t>07_09H</t>
  </si>
  <si>
    <t>07_10F</t>
  </si>
  <si>
    <t>DumpFront_2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</si>
  <si>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</si>
  <si>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</si>
  <si>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</si>
  <si>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</si>
  <si>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</si>
  <si>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</si>
  <si>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</si>
  <si>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</si>
  <si>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</si>
  <si>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</si>
  <si>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</si>
  <si>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</si>
  <si>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08_04F</t>
  </si>
  <si>
    <t>08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</si>
  <si>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</si>
  <si>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</si>
  <si>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</si>
  <si>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</si>
  <si>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</si>
  <si>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</si>
  <si>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</si>
  <si>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</si>
  <si>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</si>
  <si>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</si>
  <si>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</si>
  <si>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</si>
  <si>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</si>
  <si>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</si>
  <si>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</si>
  <si>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</si>
  <si>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</si>
  <si>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</si>
  <si>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</si>
  <si>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</si>
  <si>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</si>
  <si>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</si>
  <si>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</si>
  <si>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</si>
  <si>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</si>
  <si>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09_05F</t>
  </si>
  <si>
    <t>09</t>
  </si>
  <si>
    <t>DumpFront_12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</si>
  <si>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</si>
  <si>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</si>
  <si>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</si>
  <si>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</si>
  <si>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</si>
  <si>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</si>
  <si>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</si>
  <si>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</si>
  <si>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</si>
  <si>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</si>
  <si>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</si>
  <si>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</si>
  <si>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</si>
  <si>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</si>
  <si>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DumpFront_3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</si>
  <si>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</si>
  <si>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</si>
  <si>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</si>
  <si>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</si>
  <si>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</si>
  <si>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</si>
  <si>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</si>
  <si>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</si>
  <si>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</si>
  <si>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</si>
  <si>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</si>
  <si>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</si>
  <si>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</si>
  <si>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</si>
  <si>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</si>
  <si>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</si>
  <si>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</si>
  <si>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</si>
  <si>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</si>
  <si>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</si>
  <si>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</si>
  <si>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</si>
  <si>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</si>
  <si>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</si>
  <si>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</si>
  <si>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</si>
  <si>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</si>
  <si>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</si>
  <si>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</si>
  <si>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</si>
  <si>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</si>
  <si>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</si>
  <si>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</si>
  <si>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</si>
  <si>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</si>
  <si>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</si>
  <si>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</si>
  <si>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</si>
  <si>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</si>
  <si>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</si>
  <si>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</si>
  <si>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</si>
  <si>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</si>
  <si>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DumpFront_16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</si>
  <si>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</si>
  <si>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</si>
  <si>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</si>
  <si>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</si>
  <si>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</si>
  <si>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</si>
  <si>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</si>
  <si>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</si>
  <si>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</si>
  <si>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</si>
  <si>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</si>
  <si>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</si>
  <si>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</si>
  <si>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</si>
  <si>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</si>
  <si>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</si>
  <si>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</si>
  <si>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</si>
  <si>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</si>
  <si>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</si>
  <si>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</si>
  <si>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</si>
  <si>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</si>
  <si>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</si>
  <si>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</si>
  <si>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</si>
  <si>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12_07H</t>
  </si>
  <si>
    <t>12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</si>
  <si>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</si>
  <si>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</si>
  <si>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</si>
  <si>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</si>
  <si>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</si>
  <si>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</si>
  <si>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</si>
  <si>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</si>
  <si>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</si>
  <si>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</si>
  <si>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</si>
  <si>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</si>
  <si>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</si>
  <si>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</si>
  <si>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</si>
  <si>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DumpFront_4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</si>
  <si>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</si>
  <si>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</si>
  <si>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</si>
  <si>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</si>
  <si>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</si>
  <si>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</si>
  <si>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</si>
  <si>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</si>
  <si>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</si>
  <si>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</si>
  <si>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</si>
  <si>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</si>
  <si>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</si>
  <si>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</si>
  <si>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</si>
  <si>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</si>
  <si>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</si>
  <si>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</si>
  <si>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</si>
  <si>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</si>
  <si>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</si>
  <si>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</si>
  <si>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</si>
  <si>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</si>
  <si>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</si>
  <si>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</si>
  <si>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</si>
  <si>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</si>
  <si>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</si>
  <si>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</si>
  <si>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</si>
  <si>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DumpFront_14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</si>
  <si>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</si>
  <si>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</si>
  <si>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</si>
  <si>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</si>
  <si>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</si>
  <si>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</si>
  <si>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</si>
  <si>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</si>
  <si>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</si>
  <si>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</si>
  <si>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</si>
  <si>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</si>
  <si>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DumpFront_5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</si>
  <si>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</si>
  <si>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</si>
  <si>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</si>
  <si>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</si>
  <si>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</si>
  <si>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</si>
  <si>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</si>
  <si>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</si>
  <si>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</si>
  <si>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</si>
  <si>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</si>
  <si>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</si>
  <si>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</si>
  <si>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</si>
  <si>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</si>
  <si>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</si>
  <si>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</si>
  <si>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</si>
  <si>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DumpFront_15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</si>
  <si>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</si>
  <si>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</si>
  <si>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</si>
  <si>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</si>
  <si>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</si>
  <si>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</si>
  <si>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</si>
  <si>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</si>
  <si>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</si>
  <si>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</si>
  <si>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</si>
  <si>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</si>
  <si>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street_1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</si>
</sst>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3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0" fontId="0" fillId="0" borderId="5" xfId="0" applyBorder="1"/>
    <xf numFmtId="3" fontId="1" fillId="2" borderId="6" xfId="0" applyNumberFormat="1" applyFont="1" applyFill="1" applyBorder="1" applyAlignment="1">
      <alignment horizontal="left"/>
    </xf>
    <xf numFmtId="0" fontId="0" fillId="0" borderId="7" xfId="0" applyBorder="1"/>
    <xf numFmtId="3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0"/>
  <sheetViews>
    <sheetView zoomScaleNormal="100" workbookViewId="0">
      <selection activeCell="X17" sqref="X17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15.33203125" style="6" bestFit="1" customWidth="1"/>
    <col min="26" max="26" width="8.33203125" style="6" bestFit="1" customWidth="1"/>
    <col min="27" max="27" width="16.5546875" bestFit="1" customWidth="1"/>
    <col min="28" max="28" width="19.109375" bestFit="1" customWidth="1"/>
    <col min="29" max="29" width="10.33203125" bestFit="1" customWidth="1"/>
  </cols>
  <sheetData>
    <row r="1" spans="1:29" ht="18.75" customHeight="1" x14ac:dyDescent="0.3">
      <c r="A1" s="10" t="s">
        <v>0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  <c r="J1" s="10" t="s">
        <v>22</v>
      </c>
      <c r="K1" s="10" t="s">
        <v>23</v>
      </c>
      <c r="L1" s="10" t="s">
        <v>24</v>
      </c>
      <c r="M1" s="10" t="s">
        <v>25</v>
      </c>
      <c r="N1" s="10" t="s">
        <v>26</v>
      </c>
      <c r="O1" s="10" t="s">
        <v>27</v>
      </c>
      <c r="P1" s="10" t="s">
        <v>28</v>
      </c>
      <c r="Q1" s="10" t="s">
        <v>29</v>
      </c>
      <c r="R1" s="10" t="s">
        <v>30</v>
      </c>
      <c r="S1" s="10" t="s">
        <v>31</v>
      </c>
      <c r="T1" s="10" t="s">
        <v>32</v>
      </c>
      <c r="U1" s="10" t="s">
        <v>33</v>
      </c>
      <c r="V1" s="10" t="s">
        <v>34</v>
      </c>
      <c r="W1" s="10" t="s">
        <v>35</v>
      </c>
      <c r="X1" s="10" t="s">
        <v>36</v>
      </c>
      <c r="Y1" s="10" t="s">
        <v>37</v>
      </c>
      <c r="Z1" s="10" t="s">
        <v>38</v>
      </c>
      <c r="AA1" s="10" t="s">
        <v>39</v>
      </c>
      <c r="AB1" s="10" t="s">
        <v>40</v>
      </c>
      <c r="AC1" s="10" t="s">
        <v>41</v>
      </c>
    </row>
    <row r="2" spans="1:29" ht="18.75" customHeight="1" x14ac:dyDescent="0.3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12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47</v>
      </c>
      <c r="S2" t="s">
        <v>47</v>
      </c>
      <c r="T2" t="s">
        <v>50</v>
      </c>
      <c r="U2" t="s">
        <v>51</v>
      </c>
      <c r="V2" t="s">
        <v>12</v>
      </c>
      <c r="W2" t="s">
        <v>12</v>
      </c>
      <c r="X2" t="s">
        <v>12</v>
      </c>
      <c r="Y2" t="s">
        <v>52</v>
      </c>
      <c r="Z2" t="s">
        <v>47</v>
      </c>
      <c r="AA2" t="s">
        <v>47</v>
      </c>
      <c r="AB2" t="s">
        <v>47</v>
      </c>
      <c r="AC2" t="s">
        <v>49</v>
      </c>
    </row>
    <row r="3" spans="1:29" ht="23.4" customHeight="1" x14ac:dyDescent="0.3">
      <c r="A3">
        <v>1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3">
      <c r="A4">
        <v>2</v>
      </c>
      <c r="B4" t="s">
        <v>58</v>
      </c>
      <c r="C4" t="s">
        <v>54</v>
      </c>
      <c r="D4" t="s">
        <v>55</v>
      </c>
      <c r="E4" t="s">
        <v>56</v>
      </c>
      <c r="F4" t="s">
        <v>57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3">
      <c r="A5">
        <v>3</v>
      </c>
      <c r="B5" t="s">
        <v>59</v>
      </c>
      <c r="C5" t="s">
        <v>54</v>
      </c>
      <c r="D5" t="s">
        <v>55</v>
      </c>
      <c r="E5" t="s">
        <v>56</v>
      </c>
      <c r="F5" t="s">
        <v>57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3">
      <c r="A6">
        <v>4</v>
      </c>
      <c r="B6" t="s">
        <v>60</v>
      </c>
      <c r="C6" t="s">
        <v>54</v>
      </c>
      <c r="D6" t="s">
        <v>55</v>
      </c>
      <c r="E6" t="s">
        <v>56</v>
      </c>
      <c r="F6" t="s">
        <v>57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3">
      <c r="A7">
        <v>5</v>
      </c>
      <c r="B7" t="s">
        <v>61</v>
      </c>
      <c r="C7" t="s">
        <v>54</v>
      </c>
      <c r="D7" t="s">
        <v>55</v>
      </c>
      <c r="E7" t="s">
        <v>56</v>
      </c>
      <c r="F7" t="s">
        <v>57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3">
      <c r="A8">
        <v>6</v>
      </c>
      <c r="B8" t="s">
        <v>62</v>
      </c>
      <c r="C8" t="s">
        <v>54</v>
      </c>
      <c r="D8" t="s">
        <v>55</v>
      </c>
      <c r="E8" t="s">
        <v>56</v>
      </c>
      <c r="F8" t="s">
        <v>57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3">
      <c r="A9">
        <v>7</v>
      </c>
      <c r="B9" t="s">
        <v>63</v>
      </c>
      <c r="C9" t="s">
        <v>54</v>
      </c>
      <c r="D9" t="s">
        <v>55</v>
      </c>
      <c r="E9" t="s">
        <v>56</v>
      </c>
      <c r="F9" t="s">
        <v>57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3">
      <c r="A10">
        <v>8</v>
      </c>
      <c r="B10" t="s">
        <v>64</v>
      </c>
      <c r="C10" t="s">
        <v>54</v>
      </c>
      <c r="D10" t="s">
        <v>55</v>
      </c>
      <c r="E10" t="s">
        <v>56</v>
      </c>
      <c r="F10" t="s">
        <v>57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zoomScale="145" zoomScaleNormal="145" workbookViewId="0">
      <selection activeCell="H4" sqref="H4"/>
    </sheetView>
  </sheetViews>
  <sheetFormatPr baseColWidth="10" defaultRowHeight="14.4" x14ac:dyDescent="0.3"/>
  <cols>
    <col min="2" max="2" width="17.88671875" customWidth="1"/>
    <col min="3" max="3" width="12" bestFit="1" customWidth="1"/>
    <col min="4" max="4" width="13.5546875" bestFit="1" customWidth="1"/>
    <col min="5" max="5" width="15.6640625" bestFit="1" customWidth="1"/>
    <col min="7" max="7" width="21.554687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7" t="s">
        <v>8</v>
      </c>
      <c r="B2" s="7" t="s">
        <v>9</v>
      </c>
      <c r="C2" s="7" t="s">
        <v>10</v>
      </c>
      <c r="D2" s="11" t="s">
        <v>10</v>
      </c>
      <c r="E2" s="15" t="s">
        <v>10</v>
      </c>
      <c r="F2" s="13" t="s">
        <v>11</v>
      </c>
      <c r="G2" s="7" t="s">
        <v>12</v>
      </c>
      <c r="H2" s="7" t="s">
        <v>12</v>
      </c>
    </row>
    <row r="3" spans="1:8" x14ac:dyDescent="0.3">
      <c r="A3" s="8">
        <v>1</v>
      </c>
      <c r="B3" s="8" t="s">
        <v>13</v>
      </c>
      <c r="C3" s="8">
        <f>2*35722</f>
        <v>71444</v>
      </c>
      <c r="D3" s="12">
        <v>38221</v>
      </c>
      <c r="E3" s="8">
        <v>17199</v>
      </c>
      <c r="F3" s="14">
        <v>4</v>
      </c>
      <c r="G3" s="8">
        <v>1</v>
      </c>
      <c r="H3" s="8">
        <v>4400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3" sqref="F3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6" x14ac:dyDescent="0.3">
      <c r="A1" s="4" t="s">
        <v>0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</row>
    <row r="2" spans="1:6" x14ac:dyDescent="0.3">
      <c r="A2" s="7" t="s">
        <v>8</v>
      </c>
      <c r="B2" s="7" t="s">
        <v>9</v>
      </c>
      <c r="C2" s="7" t="s">
        <v>10</v>
      </c>
      <c r="D2" s="7" t="s">
        <v>12</v>
      </c>
      <c r="E2" s="7" t="s">
        <v>11</v>
      </c>
      <c r="F2" s="7" t="s">
        <v>12</v>
      </c>
    </row>
    <row r="3" spans="1:6" x14ac:dyDescent="0.3">
      <c r="A3" s="8">
        <v>1</v>
      </c>
      <c r="B3" s="8" t="s">
        <v>70</v>
      </c>
      <c r="C3" s="8">
        <v>126215</v>
      </c>
      <c r="D3" s="8">
        <v>960</v>
      </c>
      <c r="E3" s="8">
        <v>1</v>
      </c>
      <c r="F3" s="8">
        <v>4400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212"/>
  <sheetViews>
    <sheetView topLeftCell="A163" zoomScale="70" zoomScaleNormal="70" workbookViewId="0">
      <selection activeCell="M16" sqref="M16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71</v>
      </c>
      <c r="C1" s="10" t="s">
        <v>72</v>
      </c>
      <c r="D1" s="10" t="s">
        <v>73</v>
      </c>
      <c r="E1" s="10" t="s">
        <v>74</v>
      </c>
      <c r="F1" s="10" t="s">
        <v>75</v>
      </c>
      <c r="G1" s="10" t="s">
        <v>76</v>
      </c>
      <c r="H1" s="10" t="s">
        <v>77</v>
      </c>
    </row>
    <row r="2" spans="1:8" ht="18.75" customHeight="1" x14ac:dyDescent="0.3">
      <c r="A2" t="s">
        <v>8</v>
      </c>
      <c r="B2" t="s">
        <v>9</v>
      </c>
      <c r="C2" t="s">
        <v>9</v>
      </c>
      <c r="D2" t="s">
        <v>9</v>
      </c>
      <c r="E2" t="s">
        <v>78</v>
      </c>
      <c r="F2" t="s">
        <v>78</v>
      </c>
      <c r="G2" t="s">
        <v>42</v>
      </c>
      <c r="H2" t="s">
        <v>79</v>
      </c>
    </row>
    <row r="3" spans="1:8" ht="18.75" customHeight="1" x14ac:dyDescent="0.3">
      <c r="A3">
        <v>1</v>
      </c>
      <c r="B3" t="s">
        <v>80</v>
      </c>
      <c r="C3" t="s">
        <v>81</v>
      </c>
      <c r="D3" t="s">
        <v>82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83</v>
      </c>
      <c r="C4" t="s">
        <v>81</v>
      </c>
      <c r="D4" t="s">
        <v>82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84</v>
      </c>
      <c r="C5" t="s">
        <v>81</v>
      </c>
      <c r="D5" t="s">
        <v>82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85</v>
      </c>
      <c r="C6" t="s">
        <v>86</v>
      </c>
      <c r="D6" t="s">
        <v>87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88</v>
      </c>
      <c r="C7" t="s">
        <v>86</v>
      </c>
      <c r="D7" t="s">
        <v>87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89</v>
      </c>
      <c r="C8" t="s">
        <v>86</v>
      </c>
      <c r="D8" t="s">
        <v>87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90</v>
      </c>
      <c r="C9" t="s">
        <v>86</v>
      </c>
      <c r="D9" t="s">
        <v>91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92</v>
      </c>
      <c r="C10" t="s">
        <v>86</v>
      </c>
      <c r="D10" t="s">
        <v>87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93</v>
      </c>
      <c r="C11" t="s">
        <v>86</v>
      </c>
      <c r="D11" t="s">
        <v>91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94</v>
      </c>
      <c r="C12" t="s">
        <v>86</v>
      </c>
      <c r="D12" t="s">
        <v>91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95</v>
      </c>
      <c r="C13" t="s">
        <v>86</v>
      </c>
      <c r="D13" t="s">
        <v>91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96</v>
      </c>
      <c r="C14" t="s">
        <v>86</v>
      </c>
      <c r="D14" t="s">
        <v>91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97</v>
      </c>
      <c r="C15" t="s">
        <v>86</v>
      </c>
      <c r="D15" t="s">
        <v>91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98</v>
      </c>
      <c r="C16" t="s">
        <v>86</v>
      </c>
      <c r="D16" t="s">
        <v>91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99</v>
      </c>
      <c r="C17" t="s">
        <v>86</v>
      </c>
      <c r="D17" t="s">
        <v>91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100</v>
      </c>
      <c r="C18" t="s">
        <v>86</v>
      </c>
      <c r="D18" t="s">
        <v>91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101</v>
      </c>
      <c r="C19" t="s">
        <v>86</v>
      </c>
      <c r="D19" t="s">
        <v>91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102</v>
      </c>
      <c r="C20" t="s">
        <v>86</v>
      </c>
      <c r="D20" t="s">
        <v>91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103</v>
      </c>
      <c r="C21" t="s">
        <v>86</v>
      </c>
      <c r="D21" t="s">
        <v>91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104</v>
      </c>
      <c r="C22" t="s">
        <v>105</v>
      </c>
      <c r="D22" t="s">
        <v>87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106</v>
      </c>
      <c r="C23" t="s">
        <v>105</v>
      </c>
      <c r="D23" t="s">
        <v>87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107</v>
      </c>
      <c r="C24" t="s">
        <v>105</v>
      </c>
      <c r="D24" t="s">
        <v>87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108</v>
      </c>
      <c r="C25" t="s">
        <v>105</v>
      </c>
      <c r="D25" t="s">
        <v>87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109</v>
      </c>
      <c r="C26" t="s">
        <v>105</v>
      </c>
      <c r="D26" t="s">
        <v>87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110</v>
      </c>
      <c r="C27" t="s">
        <v>105</v>
      </c>
      <c r="D27" t="s">
        <v>87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111</v>
      </c>
      <c r="C28" t="s">
        <v>105</v>
      </c>
      <c r="D28" t="s">
        <v>87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112</v>
      </c>
      <c r="C29" t="s">
        <v>105</v>
      </c>
      <c r="D29" t="s">
        <v>87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113</v>
      </c>
      <c r="C30" t="s">
        <v>105</v>
      </c>
      <c r="D30" t="s">
        <v>87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114</v>
      </c>
      <c r="C31" t="s">
        <v>105</v>
      </c>
      <c r="D31" t="s">
        <v>91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115</v>
      </c>
      <c r="C32" t="s">
        <v>105</v>
      </c>
      <c r="D32" t="s">
        <v>87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116</v>
      </c>
      <c r="C33" t="s">
        <v>105</v>
      </c>
      <c r="D33" t="s">
        <v>91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117</v>
      </c>
      <c r="C34" t="s">
        <v>105</v>
      </c>
      <c r="D34" t="s">
        <v>91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118</v>
      </c>
      <c r="C35" t="s">
        <v>105</v>
      </c>
      <c r="D35" t="s">
        <v>91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119</v>
      </c>
      <c r="C36" t="s">
        <v>105</v>
      </c>
      <c r="D36" t="s">
        <v>91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120</v>
      </c>
      <c r="C37" t="s">
        <v>105</v>
      </c>
      <c r="D37" t="s">
        <v>91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121</v>
      </c>
      <c r="C38" t="s">
        <v>105</v>
      </c>
      <c r="D38" t="s">
        <v>91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122</v>
      </c>
      <c r="C39" t="s">
        <v>105</v>
      </c>
      <c r="D39" t="s">
        <v>91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123</v>
      </c>
      <c r="C40" t="s">
        <v>105</v>
      </c>
      <c r="D40" t="s">
        <v>91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124</v>
      </c>
      <c r="C41" t="s">
        <v>105</v>
      </c>
      <c r="D41" t="s">
        <v>91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125</v>
      </c>
      <c r="C42" t="s">
        <v>105</v>
      </c>
      <c r="D42" t="s">
        <v>91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126</v>
      </c>
      <c r="C43" t="s">
        <v>105</v>
      </c>
      <c r="D43" t="s">
        <v>91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127</v>
      </c>
      <c r="C44" t="s">
        <v>105</v>
      </c>
      <c r="D44" t="s">
        <v>91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128</v>
      </c>
      <c r="C45" t="s">
        <v>105</v>
      </c>
      <c r="D45" t="s">
        <v>91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129</v>
      </c>
      <c r="C46" t="s">
        <v>105</v>
      </c>
      <c r="D46" t="s">
        <v>91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130</v>
      </c>
      <c r="C47" t="s">
        <v>105</v>
      </c>
      <c r="D47" t="s">
        <v>91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131</v>
      </c>
      <c r="C48" t="s">
        <v>132</v>
      </c>
      <c r="D48" t="s">
        <v>133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134</v>
      </c>
      <c r="C49" t="s">
        <v>132</v>
      </c>
      <c r="D49" t="s">
        <v>133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135</v>
      </c>
      <c r="C50" t="s">
        <v>132</v>
      </c>
      <c r="D50" t="s">
        <v>133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136</v>
      </c>
      <c r="C51" t="s">
        <v>132</v>
      </c>
      <c r="D51" t="s">
        <v>133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137</v>
      </c>
      <c r="C52" t="s">
        <v>132</v>
      </c>
      <c r="D52" t="s">
        <v>133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138</v>
      </c>
      <c r="C53" t="s">
        <v>132</v>
      </c>
      <c r="D53" t="s">
        <v>133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139</v>
      </c>
      <c r="C54" t="s">
        <v>132</v>
      </c>
      <c r="D54" t="s">
        <v>133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140</v>
      </c>
      <c r="C55" t="s">
        <v>132</v>
      </c>
      <c r="D55" t="s">
        <v>133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141</v>
      </c>
      <c r="C56" t="s">
        <v>132</v>
      </c>
      <c r="D56" t="s">
        <v>133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142</v>
      </c>
      <c r="C57" t="s">
        <v>132</v>
      </c>
      <c r="D57" t="s">
        <v>133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143</v>
      </c>
      <c r="C58" t="s">
        <v>132</v>
      </c>
      <c r="D58" t="s">
        <v>133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144</v>
      </c>
      <c r="C59" t="s">
        <v>132</v>
      </c>
      <c r="D59" t="s">
        <v>133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145</v>
      </c>
      <c r="C60" t="s">
        <v>132</v>
      </c>
      <c r="D60" t="s">
        <v>133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146</v>
      </c>
      <c r="C61" t="s">
        <v>132</v>
      </c>
      <c r="D61" t="s">
        <v>133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147</v>
      </c>
      <c r="C62" t="s">
        <v>132</v>
      </c>
      <c r="D62" t="s">
        <v>148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149</v>
      </c>
      <c r="C63" t="s">
        <v>132</v>
      </c>
      <c r="D63" t="s">
        <v>133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150</v>
      </c>
      <c r="C64" t="s">
        <v>132</v>
      </c>
      <c r="D64" t="s">
        <v>148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151</v>
      </c>
      <c r="C65" t="s">
        <v>132</v>
      </c>
      <c r="D65" t="s">
        <v>148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152</v>
      </c>
      <c r="C66" t="s">
        <v>132</v>
      </c>
      <c r="D66" t="s">
        <v>148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153</v>
      </c>
      <c r="C67" t="s">
        <v>132</v>
      </c>
      <c r="D67" t="s">
        <v>148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154</v>
      </c>
      <c r="C68" t="s">
        <v>132</v>
      </c>
      <c r="D68" t="s">
        <v>148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155</v>
      </c>
      <c r="C69" t="s">
        <v>132</v>
      </c>
      <c r="D69" t="s">
        <v>148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156</v>
      </c>
      <c r="C70" t="s">
        <v>132</v>
      </c>
      <c r="D70" t="s">
        <v>148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157</v>
      </c>
      <c r="C71" t="s">
        <v>132</v>
      </c>
      <c r="D71" t="s">
        <v>148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158</v>
      </c>
      <c r="C72" t="s">
        <v>132</v>
      </c>
      <c r="D72" t="s">
        <v>148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159</v>
      </c>
      <c r="C73" t="s">
        <v>132</v>
      </c>
      <c r="D73" t="s">
        <v>148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160</v>
      </c>
      <c r="C74" t="s">
        <v>132</v>
      </c>
      <c r="D74" t="s">
        <v>148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161</v>
      </c>
      <c r="C75" t="s">
        <v>162</v>
      </c>
      <c r="D75" t="s">
        <v>133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163</v>
      </c>
      <c r="C76" t="s">
        <v>162</v>
      </c>
      <c r="D76" t="s">
        <v>133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164</v>
      </c>
      <c r="C77" t="s">
        <v>162</v>
      </c>
      <c r="D77" t="s">
        <v>133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165</v>
      </c>
      <c r="C78" t="s">
        <v>162</v>
      </c>
      <c r="D78" t="s">
        <v>133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166</v>
      </c>
      <c r="C79" t="s">
        <v>162</v>
      </c>
      <c r="D79" t="s">
        <v>133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167</v>
      </c>
      <c r="C80" t="s">
        <v>162</v>
      </c>
      <c r="D80" t="s">
        <v>133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168</v>
      </c>
      <c r="C81" t="s">
        <v>162</v>
      </c>
      <c r="D81" t="s">
        <v>133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169</v>
      </c>
      <c r="C82" t="s">
        <v>162</v>
      </c>
      <c r="D82" t="s">
        <v>133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170</v>
      </c>
      <c r="C83" t="s">
        <v>162</v>
      </c>
      <c r="D83" t="s">
        <v>133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171</v>
      </c>
      <c r="C84" t="s">
        <v>162</v>
      </c>
      <c r="D84" t="s">
        <v>133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172</v>
      </c>
      <c r="C85" t="s">
        <v>162</v>
      </c>
      <c r="D85" t="s">
        <v>133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173</v>
      </c>
      <c r="C86" t="s">
        <v>162</v>
      </c>
      <c r="D86" t="s">
        <v>148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174</v>
      </c>
      <c r="C87" t="s">
        <v>162</v>
      </c>
      <c r="D87" t="s">
        <v>133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175</v>
      </c>
      <c r="C88" t="s">
        <v>162</v>
      </c>
      <c r="D88" t="s">
        <v>148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176</v>
      </c>
      <c r="C89" t="s">
        <v>162</v>
      </c>
      <c r="D89" t="s">
        <v>148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177</v>
      </c>
      <c r="C90" t="s">
        <v>162</v>
      </c>
      <c r="D90" t="s">
        <v>148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178</v>
      </c>
      <c r="C91" t="s">
        <v>162</v>
      </c>
      <c r="D91" t="s">
        <v>148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179</v>
      </c>
      <c r="C92" t="s">
        <v>162</v>
      </c>
      <c r="D92" t="s">
        <v>148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180</v>
      </c>
      <c r="C93" t="s">
        <v>162</v>
      </c>
      <c r="D93" t="s">
        <v>148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181</v>
      </c>
      <c r="C94" t="s">
        <v>162</v>
      </c>
      <c r="D94" t="s">
        <v>148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182</v>
      </c>
      <c r="C95" t="s">
        <v>162</v>
      </c>
      <c r="D95" t="s">
        <v>148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183</v>
      </c>
      <c r="C96" t="s">
        <v>162</v>
      </c>
      <c r="D96" t="s">
        <v>148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184</v>
      </c>
      <c r="C97" t="s">
        <v>162</v>
      </c>
      <c r="D97" t="s">
        <v>148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185</v>
      </c>
      <c r="C98" t="s">
        <v>162</v>
      </c>
      <c r="D98" t="s">
        <v>148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186</v>
      </c>
      <c r="C99" t="s">
        <v>162</v>
      </c>
      <c r="D99" t="s">
        <v>148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187</v>
      </c>
      <c r="C100" t="s">
        <v>162</v>
      </c>
      <c r="D100" t="s">
        <v>148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188</v>
      </c>
      <c r="C101" t="s">
        <v>162</v>
      </c>
      <c r="D101" t="s">
        <v>148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189</v>
      </c>
      <c r="C102" t="s">
        <v>162</v>
      </c>
      <c r="D102" t="s">
        <v>148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190</v>
      </c>
      <c r="C103" t="s">
        <v>191</v>
      </c>
      <c r="D103" t="s">
        <v>192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193</v>
      </c>
      <c r="C104" t="s">
        <v>191</v>
      </c>
      <c r="D104" t="s">
        <v>192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194</v>
      </c>
      <c r="C105" t="s">
        <v>191</v>
      </c>
      <c r="D105" t="s">
        <v>192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195</v>
      </c>
      <c r="C106" t="s">
        <v>191</v>
      </c>
      <c r="D106" t="s">
        <v>192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196</v>
      </c>
      <c r="C107" t="s">
        <v>191</v>
      </c>
      <c r="D107" t="s">
        <v>192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197</v>
      </c>
      <c r="C108" t="s">
        <v>191</v>
      </c>
      <c r="D108" t="s">
        <v>192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198</v>
      </c>
      <c r="C109" t="s">
        <v>191</v>
      </c>
      <c r="D109" t="s">
        <v>192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199</v>
      </c>
      <c r="C110" t="s">
        <v>191</v>
      </c>
      <c r="D110" t="s">
        <v>192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200</v>
      </c>
      <c r="C111" t="s">
        <v>191</v>
      </c>
      <c r="D111" t="s">
        <v>192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201</v>
      </c>
      <c r="C112" t="s">
        <v>191</v>
      </c>
      <c r="D112" t="s">
        <v>192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202</v>
      </c>
      <c r="C113" t="s">
        <v>191</v>
      </c>
      <c r="D113" t="s">
        <v>192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203</v>
      </c>
      <c r="C114" t="s">
        <v>191</v>
      </c>
      <c r="D114" t="s">
        <v>192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204</v>
      </c>
      <c r="C115" t="s">
        <v>191</v>
      </c>
      <c r="D115" t="s">
        <v>192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205</v>
      </c>
      <c r="C116" t="s">
        <v>191</v>
      </c>
      <c r="D116" t="s">
        <v>192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206</v>
      </c>
      <c r="C117" t="s">
        <v>191</v>
      </c>
      <c r="D117" t="s">
        <v>192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207</v>
      </c>
      <c r="C118" t="s">
        <v>191</v>
      </c>
      <c r="D118" t="s">
        <v>192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208</v>
      </c>
      <c r="C119" t="s">
        <v>191</v>
      </c>
      <c r="D119" t="s">
        <v>192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209</v>
      </c>
      <c r="C120" t="s">
        <v>191</v>
      </c>
      <c r="D120" t="s">
        <v>148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210</v>
      </c>
      <c r="C121" t="s">
        <v>191</v>
      </c>
      <c r="D121" t="s">
        <v>148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211</v>
      </c>
      <c r="C122" t="s">
        <v>191</v>
      </c>
      <c r="D122" t="s">
        <v>148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212</v>
      </c>
      <c r="C123" t="s">
        <v>191</v>
      </c>
      <c r="D123" t="s">
        <v>148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213</v>
      </c>
      <c r="C124" t="s">
        <v>191</v>
      </c>
      <c r="D124" t="s">
        <v>148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214</v>
      </c>
      <c r="C125" t="s">
        <v>191</v>
      </c>
      <c r="D125" t="s">
        <v>148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215</v>
      </c>
      <c r="C126" t="s">
        <v>191</v>
      </c>
      <c r="D126" t="s">
        <v>148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216</v>
      </c>
      <c r="C127" t="s">
        <v>191</v>
      </c>
      <c r="D127" t="s">
        <v>148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217</v>
      </c>
      <c r="C128" t="s">
        <v>191</v>
      </c>
      <c r="D128" t="s">
        <v>148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218</v>
      </c>
      <c r="C129" t="s">
        <v>191</v>
      </c>
      <c r="D129" t="s">
        <v>148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219</v>
      </c>
      <c r="C130" t="s">
        <v>220</v>
      </c>
      <c r="D130" t="s">
        <v>192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221</v>
      </c>
      <c r="C131" t="s">
        <v>220</v>
      </c>
      <c r="D131" t="s">
        <v>192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222</v>
      </c>
      <c r="C132" t="s">
        <v>220</v>
      </c>
      <c r="D132" t="s">
        <v>192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223</v>
      </c>
      <c r="C133" t="s">
        <v>220</v>
      </c>
      <c r="D133" t="s">
        <v>192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224</v>
      </c>
      <c r="C134" t="s">
        <v>220</v>
      </c>
      <c r="D134" t="s">
        <v>192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225</v>
      </c>
      <c r="C135" t="s">
        <v>220</v>
      </c>
      <c r="D135" t="s">
        <v>192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226</v>
      </c>
      <c r="C136" t="s">
        <v>220</v>
      </c>
      <c r="D136" t="s">
        <v>192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227</v>
      </c>
      <c r="C137" t="s">
        <v>220</v>
      </c>
      <c r="D137" t="s">
        <v>192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228</v>
      </c>
      <c r="C138" t="s">
        <v>220</v>
      </c>
      <c r="D138" t="s">
        <v>192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229</v>
      </c>
      <c r="C139" t="s">
        <v>220</v>
      </c>
      <c r="D139" t="s">
        <v>192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230</v>
      </c>
      <c r="C140" t="s">
        <v>220</v>
      </c>
      <c r="D140" t="s">
        <v>192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231</v>
      </c>
      <c r="C141" t="s">
        <v>220</v>
      </c>
      <c r="D141" t="s">
        <v>192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232</v>
      </c>
      <c r="C142" t="s">
        <v>220</v>
      </c>
      <c r="D142" t="s">
        <v>192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233</v>
      </c>
      <c r="C143" t="s">
        <v>220</v>
      </c>
      <c r="D143" t="s">
        <v>192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234</v>
      </c>
      <c r="C144" t="s">
        <v>220</v>
      </c>
      <c r="D144" t="s">
        <v>192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235</v>
      </c>
      <c r="C145" t="s">
        <v>220</v>
      </c>
      <c r="D145" t="s">
        <v>236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237</v>
      </c>
      <c r="C146" t="s">
        <v>220</v>
      </c>
      <c r="D146" t="s">
        <v>192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238</v>
      </c>
      <c r="C147" t="s">
        <v>220</v>
      </c>
      <c r="D147" t="s">
        <v>236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239</v>
      </c>
      <c r="C148" t="s">
        <v>220</v>
      </c>
      <c r="D148" t="s">
        <v>236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240</v>
      </c>
      <c r="C149" t="s">
        <v>220</v>
      </c>
      <c r="D149" t="s">
        <v>236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241</v>
      </c>
      <c r="C150" t="s">
        <v>220</v>
      </c>
      <c r="D150" t="s">
        <v>236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242</v>
      </c>
      <c r="C151" t="s">
        <v>220</v>
      </c>
      <c r="D151" t="s">
        <v>236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243</v>
      </c>
      <c r="C152" t="s">
        <v>220</v>
      </c>
      <c r="D152" t="s">
        <v>236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244</v>
      </c>
      <c r="C153" t="s">
        <v>220</v>
      </c>
      <c r="D153" t="s">
        <v>236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245</v>
      </c>
      <c r="C154" t="s">
        <v>246</v>
      </c>
      <c r="D154" t="s">
        <v>192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247</v>
      </c>
      <c r="C155" t="s">
        <v>246</v>
      </c>
      <c r="D155" t="s">
        <v>192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248</v>
      </c>
      <c r="C156" t="s">
        <v>246</v>
      </c>
      <c r="D156" t="s">
        <v>192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249</v>
      </c>
      <c r="C157" t="s">
        <v>246</v>
      </c>
      <c r="D157" t="s">
        <v>192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250</v>
      </c>
      <c r="C158" t="s">
        <v>246</v>
      </c>
      <c r="D158" t="s">
        <v>192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251</v>
      </c>
      <c r="C159" t="s">
        <v>246</v>
      </c>
      <c r="D159" t="s">
        <v>192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252</v>
      </c>
      <c r="C160" t="s">
        <v>246</v>
      </c>
      <c r="D160" t="s">
        <v>192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253</v>
      </c>
      <c r="C161" t="s">
        <v>246</v>
      </c>
      <c r="D161" t="s">
        <v>192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254</v>
      </c>
      <c r="C162" t="s">
        <v>246</v>
      </c>
      <c r="D162" t="s">
        <v>192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255</v>
      </c>
      <c r="C163" t="s">
        <v>246</v>
      </c>
      <c r="D163" t="s">
        <v>192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256</v>
      </c>
      <c r="C164" t="s">
        <v>246</v>
      </c>
      <c r="D164" t="s">
        <v>192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257</v>
      </c>
      <c r="C165" t="s">
        <v>246</v>
      </c>
      <c r="D165" t="s">
        <v>192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258</v>
      </c>
      <c r="C166" t="s">
        <v>246</v>
      </c>
      <c r="D166" t="s">
        <v>192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259</v>
      </c>
      <c r="C167" t="s">
        <v>246</v>
      </c>
      <c r="D167" t="s">
        <v>192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260</v>
      </c>
      <c r="C168" t="s">
        <v>246</v>
      </c>
      <c r="D168" t="s">
        <v>192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261</v>
      </c>
      <c r="C169" t="s">
        <v>246</v>
      </c>
      <c r="D169" t="s">
        <v>192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262</v>
      </c>
      <c r="C170" t="s">
        <v>246</v>
      </c>
      <c r="D170" t="s">
        <v>236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263</v>
      </c>
      <c r="C171" t="s">
        <v>246</v>
      </c>
      <c r="D171" t="s">
        <v>192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264</v>
      </c>
      <c r="C172" t="s">
        <v>246</v>
      </c>
      <c r="D172" t="s">
        <v>236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265</v>
      </c>
      <c r="C173" t="s">
        <v>246</v>
      </c>
      <c r="D173" t="s">
        <v>236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266</v>
      </c>
      <c r="C174" t="s">
        <v>267</v>
      </c>
      <c r="D174" t="s">
        <v>268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269</v>
      </c>
      <c r="C175" t="s">
        <v>267</v>
      </c>
      <c r="D175" t="s">
        <v>268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270</v>
      </c>
      <c r="C176" t="s">
        <v>267</v>
      </c>
      <c r="D176" t="s">
        <v>268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271</v>
      </c>
      <c r="C177" t="s">
        <v>267</v>
      </c>
      <c r="D177" t="s">
        <v>268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272</v>
      </c>
      <c r="C178" t="s">
        <v>267</v>
      </c>
      <c r="D178" t="s">
        <v>268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273</v>
      </c>
      <c r="C179" t="s">
        <v>267</v>
      </c>
      <c r="D179" t="s">
        <v>268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274</v>
      </c>
      <c r="C180" t="s">
        <v>267</v>
      </c>
      <c r="D180" t="s">
        <v>268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275</v>
      </c>
      <c r="C181" t="s">
        <v>267</v>
      </c>
      <c r="D181" t="s">
        <v>268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276</v>
      </c>
      <c r="C182" t="s">
        <v>267</v>
      </c>
      <c r="D182" t="s">
        <v>268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277</v>
      </c>
      <c r="C183" t="s">
        <v>267</v>
      </c>
      <c r="D183" t="s">
        <v>268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278</v>
      </c>
      <c r="C184" t="s">
        <v>267</v>
      </c>
      <c r="D184" t="s">
        <v>268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279</v>
      </c>
      <c r="C185" t="s">
        <v>267</v>
      </c>
      <c r="D185" t="s">
        <v>268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280</v>
      </c>
      <c r="C186" t="s">
        <v>267</v>
      </c>
      <c r="D186" t="s">
        <v>281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282</v>
      </c>
      <c r="C187" t="s">
        <v>267</v>
      </c>
      <c r="D187" t="s">
        <v>268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283</v>
      </c>
      <c r="C188" t="s">
        <v>267</v>
      </c>
      <c r="D188" t="s">
        <v>281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284</v>
      </c>
      <c r="C189" t="s">
        <v>267</v>
      </c>
      <c r="D189" t="s">
        <v>281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285</v>
      </c>
      <c r="C190" t="s">
        <v>286</v>
      </c>
      <c r="D190" t="s">
        <v>268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287</v>
      </c>
      <c r="C191" t="s">
        <v>286</v>
      </c>
      <c r="D191" t="s">
        <v>268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288</v>
      </c>
      <c r="C192" t="s">
        <v>286</v>
      </c>
      <c r="D192" t="s">
        <v>268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289</v>
      </c>
      <c r="C193" t="s">
        <v>286</v>
      </c>
      <c r="D193" t="s">
        <v>268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290</v>
      </c>
      <c r="C194" t="s">
        <v>286</v>
      </c>
      <c r="D194" t="s">
        <v>268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291</v>
      </c>
      <c r="C195" t="s">
        <v>286</v>
      </c>
      <c r="D195" t="s">
        <v>268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292</v>
      </c>
      <c r="C196" t="s">
        <v>286</v>
      </c>
      <c r="D196" t="s">
        <v>268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293</v>
      </c>
      <c r="C197" t="s">
        <v>286</v>
      </c>
      <c r="D197" t="s">
        <v>268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294</v>
      </c>
      <c r="C198" t="s">
        <v>286</v>
      </c>
      <c r="D198" t="s">
        <v>268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295</v>
      </c>
      <c r="C199" t="s">
        <v>286</v>
      </c>
      <c r="D199" t="s">
        <v>268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296</v>
      </c>
      <c r="C200" t="s">
        <v>286</v>
      </c>
      <c r="D200" t="s">
        <v>268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297</v>
      </c>
      <c r="C201" t="s">
        <v>286</v>
      </c>
      <c r="D201" t="s">
        <v>268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298</v>
      </c>
      <c r="C202" t="s">
        <v>299</v>
      </c>
      <c r="D202" t="s">
        <v>300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301</v>
      </c>
      <c r="C203" t="s">
        <v>299</v>
      </c>
      <c r="D203" t="s">
        <v>300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302</v>
      </c>
      <c r="C204" t="s">
        <v>299</v>
      </c>
      <c r="D204" t="s">
        <v>300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303</v>
      </c>
      <c r="C205" t="s">
        <v>299</v>
      </c>
      <c r="D205" t="s">
        <v>300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304</v>
      </c>
      <c r="C206" t="s">
        <v>299</v>
      </c>
      <c r="D206" t="s">
        <v>300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305</v>
      </c>
      <c r="C207" t="s">
        <v>299</v>
      </c>
      <c r="D207" t="s">
        <v>300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306</v>
      </c>
      <c r="C208" t="s">
        <v>299</v>
      </c>
      <c r="D208" t="s">
        <v>300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307</v>
      </c>
      <c r="C209" t="s">
        <v>308</v>
      </c>
      <c r="D209" t="s">
        <v>300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309</v>
      </c>
      <c r="C210" t="s">
        <v>308</v>
      </c>
      <c r="D210" t="s">
        <v>300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310</v>
      </c>
      <c r="C211" t="s">
        <v>308</v>
      </c>
      <c r="D211" t="s">
        <v>300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311</v>
      </c>
      <c r="C212" t="s">
        <v>312</v>
      </c>
      <c r="D212" t="s">
        <v>300</v>
      </c>
      <c r="E212">
        <v>107.16371920928221</v>
      </c>
      <c r="F212">
        <v>107.16371920928221</v>
      </c>
      <c r="G212">
        <v>300</v>
      </c>
      <c r="H2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12"/>
  <sheetViews>
    <sheetView workbookViewId="0">
      <selection activeCell="F19" sqref="F19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71</v>
      </c>
      <c r="C1" s="10" t="s">
        <v>72</v>
      </c>
    </row>
    <row r="2" spans="1:3" ht="18.75" customHeight="1" x14ac:dyDescent="0.3">
      <c r="A2" t="s">
        <v>8</v>
      </c>
      <c r="B2" t="s">
        <v>9</v>
      </c>
      <c r="C2" t="s">
        <v>9</v>
      </c>
    </row>
    <row r="3" spans="1:3" ht="18.75" customHeight="1" x14ac:dyDescent="0.3">
      <c r="A3">
        <v>1</v>
      </c>
      <c r="B3" t="s">
        <v>82</v>
      </c>
      <c r="C3" t="s">
        <v>313</v>
      </c>
    </row>
    <row r="4" spans="1:3" x14ac:dyDescent="0.3">
      <c r="A4">
        <v>2</v>
      </c>
      <c r="B4" t="s">
        <v>91</v>
      </c>
      <c r="C4" t="s">
        <v>313</v>
      </c>
    </row>
    <row r="5" spans="1:3" x14ac:dyDescent="0.3">
      <c r="A5">
        <v>3</v>
      </c>
      <c r="B5" t="s">
        <v>148</v>
      </c>
      <c r="C5" t="s">
        <v>313</v>
      </c>
    </row>
    <row r="6" spans="1:3" x14ac:dyDescent="0.3">
      <c r="A6">
        <v>4</v>
      </c>
      <c r="B6" t="s">
        <v>236</v>
      </c>
      <c r="C6" t="s">
        <v>313</v>
      </c>
    </row>
    <row r="7" spans="1:3" x14ac:dyDescent="0.3">
      <c r="A7">
        <v>5</v>
      </c>
      <c r="B7" t="s">
        <v>281</v>
      </c>
      <c r="C7" t="s">
        <v>313</v>
      </c>
    </row>
    <row r="8" spans="1:3" x14ac:dyDescent="0.3">
      <c r="A8">
        <v>11</v>
      </c>
      <c r="B8" t="s">
        <v>87</v>
      </c>
      <c r="C8" t="s">
        <v>313</v>
      </c>
    </row>
    <row r="9" spans="1:3" x14ac:dyDescent="0.3">
      <c r="A9">
        <v>12</v>
      </c>
      <c r="B9" t="s">
        <v>133</v>
      </c>
      <c r="C9" t="s">
        <v>313</v>
      </c>
    </row>
    <row r="10" spans="1:3" x14ac:dyDescent="0.3">
      <c r="A10">
        <v>14</v>
      </c>
      <c r="B10" t="s">
        <v>268</v>
      </c>
      <c r="C10" t="s">
        <v>313</v>
      </c>
    </row>
    <row r="11" spans="1:3" x14ac:dyDescent="0.3">
      <c r="A11">
        <v>15</v>
      </c>
      <c r="B11" t="s">
        <v>300</v>
      </c>
      <c r="C11" t="s">
        <v>313</v>
      </c>
    </row>
    <row r="12" spans="1:3" x14ac:dyDescent="0.3">
      <c r="A12">
        <v>16</v>
      </c>
      <c r="B12" t="s">
        <v>192</v>
      </c>
      <c r="C12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2026-08-09T23:43:52Z</dcterms:modified>
</cp:coreProperties>
</file>